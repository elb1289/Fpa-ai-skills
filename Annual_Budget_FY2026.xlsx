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jlop\Skills\"/>
    </mc:Choice>
  </mc:AlternateContent>
  <xr:revisionPtr revIDLastSave="0" documentId="8_{E2409AD8-1B1C-4CE2-9253-7BB1002DEAB2}" xr6:coauthVersionLast="47" xr6:coauthVersionMax="47" xr10:uidLastSave="{00000000-0000-0000-0000-000000000000}"/>
  <bookViews>
    <workbookView xWindow="-120" yWindow="-120" windowWidth="20730" windowHeight="11040" activeTab="2" xr2:uid="{F989CCEA-4CC1-42DB-AFF0-189ABB99417E}"/>
  </bookViews>
  <sheets>
    <sheet name="Assumptions" sheetId="1" r:id="rId1"/>
    <sheet name="Budget_PL" sheetId="2" r:id="rId2"/>
    <sheet name="Variance_Track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" i="3" l="1"/>
  <c r="H18" i="3"/>
  <c r="F18" i="3"/>
  <c r="E18" i="3"/>
  <c r="D18" i="3"/>
  <c r="B18" i="3"/>
  <c r="I17" i="3"/>
  <c r="H17" i="3"/>
  <c r="F17" i="3"/>
  <c r="E17" i="3"/>
  <c r="D17" i="3"/>
  <c r="B17" i="3"/>
  <c r="I16" i="3"/>
  <c r="H16" i="3"/>
  <c r="F16" i="3"/>
  <c r="E16" i="3"/>
  <c r="D16" i="3"/>
  <c r="B16" i="3"/>
  <c r="I15" i="3"/>
  <c r="H15" i="3"/>
  <c r="F15" i="3"/>
  <c r="E15" i="3"/>
  <c r="D15" i="3"/>
  <c r="B15" i="3"/>
  <c r="I14" i="3"/>
  <c r="H14" i="3"/>
  <c r="F14" i="3"/>
  <c r="E14" i="3"/>
  <c r="D14" i="3"/>
  <c r="B14" i="3"/>
  <c r="I13" i="3"/>
  <c r="H13" i="3"/>
  <c r="F13" i="3"/>
  <c r="E13" i="3"/>
  <c r="D13" i="3"/>
  <c r="B13" i="3"/>
  <c r="I12" i="3"/>
  <c r="H12" i="3"/>
  <c r="F12" i="3"/>
  <c r="E12" i="3"/>
  <c r="D12" i="3"/>
  <c r="B12" i="3"/>
  <c r="I11" i="3"/>
  <c r="H11" i="3"/>
  <c r="F11" i="3"/>
  <c r="E11" i="3"/>
  <c r="D11" i="3"/>
  <c r="B11" i="3"/>
  <c r="I10" i="3"/>
  <c r="H10" i="3"/>
  <c r="F10" i="3"/>
  <c r="E10" i="3"/>
  <c r="D10" i="3"/>
  <c r="B10" i="3"/>
  <c r="I9" i="3"/>
  <c r="H9" i="3"/>
  <c r="F9" i="3"/>
  <c r="E9" i="3"/>
  <c r="D9" i="3"/>
  <c r="B9" i="3"/>
  <c r="I8" i="3"/>
  <c r="H8" i="3"/>
  <c r="F8" i="3"/>
  <c r="E8" i="3"/>
  <c r="D8" i="3"/>
  <c r="B8" i="3"/>
  <c r="I7" i="3"/>
  <c r="H7" i="3"/>
  <c r="F7" i="3"/>
  <c r="E7" i="3"/>
  <c r="D7" i="3"/>
  <c r="B7" i="3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C32" i="1"/>
  <c r="B32" i="1"/>
  <c r="D22" i="1"/>
  <c r="D21" i="1"/>
  <c r="D20" i="1"/>
  <c r="D19" i="1"/>
  <c r="D18" i="1"/>
  <c r="D17" i="1"/>
  <c r="D16" i="1"/>
  <c r="D12" i="1"/>
  <c r="C12" i="1"/>
  <c r="B12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<sst xmlns="http://schemas.openxmlformats.org/spreadsheetml/2006/main" count="119" uniqueCount="94">
  <si>
    <t>FY2026 Budget Assumptions</t>
  </si>
  <si>
    <t>Yellow cells = your inputs. All other tabs pull from this sheet.</t>
  </si>
  <si>
    <t>A. REVENUE ASSUMPTIONS</t>
  </si>
  <si>
    <t>Revenue Line</t>
  </si>
  <si>
    <t>FY2025 Actual ($)</t>
  </si>
  <si>
    <t>YoY Growth %</t>
  </si>
  <si>
    <t>FY2026 Budget ($)</t>
  </si>
  <si>
    <t>Q1 Weight</t>
  </si>
  <si>
    <t>Q2 Weight</t>
  </si>
  <si>
    <t>Notes</t>
  </si>
  <si>
    <t>Product A</t>
  </si>
  <si>
    <t>Source: FY2025 Actuals, Internal</t>
  </si>
  <si>
    <t>Product B</t>
  </si>
  <si>
    <t>Product C</t>
  </si>
  <si>
    <t>Product D</t>
  </si>
  <si>
    <t>Other Revenue</t>
  </si>
  <si>
    <t>TOTAL REVENUE</t>
  </si>
  <si>
    <t>B. MARGIN &amp; COST ASSUMPTIONS</t>
  </si>
  <si>
    <t>Assumption</t>
  </si>
  <si>
    <t>Value</t>
  </si>
  <si>
    <t>Prior Year</t>
  </si>
  <si>
    <t>Change</t>
  </si>
  <si>
    <t>Unit</t>
  </si>
  <si>
    <t>Gross Margin %</t>
  </si>
  <si>
    <t>% of Revenue</t>
  </si>
  <si>
    <t>R&amp;D % of Revenue</t>
  </si>
  <si>
    <t>Sales &amp; Marketing %</t>
  </si>
  <si>
    <t>G&amp;A % of Revenue</t>
  </si>
  <si>
    <t>Depreciation ()</t>
  </si>
  <si>
    <t>$ Annual</t>
  </si>
  <si>
    <t>Interest Expense ()</t>
  </si>
  <si>
    <t>Tax Rate %</t>
  </si>
  <si>
    <t>% of EBT</t>
  </si>
  <si>
    <t>C. HEADCOUNT ASSUMPTIONS</t>
  </si>
  <si>
    <t>Department</t>
  </si>
  <si>
    <t>FY2025 HC</t>
  </si>
  <si>
    <t>FY2026 HC (Budget)</t>
  </si>
  <si>
    <t>Avg Salary ($)</t>
  </si>
  <si>
    <t>Engineering</t>
  </si>
  <si>
    <t>Sales</t>
  </si>
  <si>
    <t>Marketing</t>
  </si>
  <si>
    <t>G&amp;A</t>
  </si>
  <si>
    <t>Operations</t>
  </si>
  <si>
    <t>TOTAL HEADCOUNT</t>
  </si>
  <si>
    <t>FY2026 Annual Budget — Monthly P&amp;L</t>
  </si>
  <si>
    <t>P&amp;L 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</si>
  <si>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</si>
  <si>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</si>
  <si>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</si>
  <si>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</si>
  <si>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</si>
  <si>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</si>
  <si>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</si>
  <si>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</si>
  <si>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</si>
  <si>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</si>
  <si>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</si>
  <si>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</si>
  <si>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FY2026 Total</t>
  </si>
  <si>
    <t>FY2025 Actual</t>
  </si>
  <si>
    <t>YoY Var %</t>
  </si>
  <si>
    <t>REVENUE</t>
  </si>
  <si>
    <t>COST OF GOODS SOLD</t>
  </si>
  <si>
    <t>Cost of Revenue</t>
  </si>
  <si>
    <t>GROSS PROFIT</t>
  </si>
  <si>
    <t xml:space="preserve">   Gross Margin %</t>
  </si>
  <si>
    <t>OPERATING EXPENSES</t>
  </si>
  <si>
    <t>Research &amp; Development</t>
  </si>
  <si>
    <t>Sales &amp; Marketing</t>
  </si>
  <si>
    <t>General &amp; Administrative</t>
  </si>
  <si>
    <t>Depreciation &amp; Amortization</t>
  </si>
  <si>
    <t>TOTAL OPEX</t>
  </si>
  <si>
    <t>EBITDA</t>
  </si>
  <si>
    <t xml:space="preserve">   EBITDA Margin %</t>
  </si>
  <si>
    <t>Interest Expense</t>
  </si>
  <si>
    <t>EBT (Earnings Before Tax)</t>
  </si>
  <si>
    <t>Income Tax</t>
  </si>
  <si>
    <t>NET INCOME</t>
  </si>
  <si>
    <t xml:space="preserve">   Net Margin %</t>
  </si>
  <si>
    <t>FY2026 Actuals vs Budget — Variance Tracker</t>
  </si>
  <si>
    <t>Update the 'Current Month' cell and paste your actuals in column C. Variance columns auto-calculate.</t>
  </si>
  <si>
    <t>Current Month (1-12):</t>
  </si>
  <si>
    <t>P&amp;L Line</t>
  </si>
  <si>
    <t>YTD Budget ($)</t>
  </si>
  <si>
    <t>YTD Actual ($)</t>
  </si>
  <si>
    <t>YTD Variance ($)</t>
  </si>
  <si>
    <t>YTD Var %</t>
  </si>
  <si>
    <t>FY Budget ($)</t>
  </si>
  <si>
    <t>FY Forecast ($)</t>
  </si>
  <si>
    <t>FY Variance ($)</t>
  </si>
  <si>
    <t>FY Var %</t>
  </si>
  <si>
    <t>R&amp;D</t>
  </si>
  <si>
    <t>D&amp;A</t>
  </si>
  <si>
    <t>💡 Tip: Positive variance = Favorable (Revenue above budget or Cost below budget)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</si>
</sst>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\(&quot;$&quot;#,##0\);&quot;-&quot;"/>
    <numFmt numFmtId="165" formatCode="0.0%;\(0.0%\);\-"/>
  </numFmts>
  <fonts count="14" x14ac:knownFonts="1">
    <font>
      <sz val="11"/>
      <color theme="1"/>
      <name val="Aptos Narrow"/>
      <family val="2"/>
      <scheme val="minor"/>
    </font>
    <font>
      <b/>
      <sz val="12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9"/>
      <color rgb="FF595959"/>
      <name val="Arial"/>
      <family val="2"/>
    </font>
    <font>
      <sz val="10"/>
      <color rgb="FF008000"/>
      <name val="Arial"/>
      <family val="2"/>
    </font>
    <font>
      <sz val="10"/>
      <color rgb="FFFFFFFF"/>
      <name val="Arial"/>
      <family val="2"/>
    </font>
    <font>
      <sz val="10"/>
      <color rgb="FF59595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4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4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indent="1"/>
    </xf>
    <xf numFmtId="164" fontId="6" fillId="4" borderId="0" xfId="0" applyNumberFormat="1" applyFont="1" applyFill="1" applyAlignment="1">
      <alignment horizontal="right"/>
    </xf>
    <xf numFmtId="165" fontId="6" fillId="4" borderId="0" xfId="0" applyNumberFormat="1" applyFont="1" applyFill="1" applyAlignment="1">
      <alignment horizontal="right"/>
    </xf>
    <xf numFmtId="164" fontId="7" fillId="0" borderId="0" xfId="0" applyNumberFormat="1" applyFont="1"/>
    <xf numFmtId="164" fontId="7" fillId="0" borderId="0" xfId="0" applyNumberFormat="1" applyFont="1" applyAlignment="1">
      <alignment horizontal="right"/>
    </xf>
    <xf numFmtId="9" fontId="6" fillId="4" borderId="0" xfId="0" applyNumberFormat="1" applyFont="1" applyFill="1" applyAlignment="1">
      <alignment horizontal="right"/>
    </xf>
    <xf numFmtId="0" fontId="8" fillId="0" borderId="0" xfId="0" applyFont="1"/>
    <xf numFmtId="0" fontId="5" fillId="5" borderId="0" xfId="0" applyFont="1" applyFill="1" applyAlignment="1">
      <alignment horizontal="left" indent="1"/>
    </xf>
    <xf numFmtId="164" fontId="6" fillId="5" borderId="0" xfId="0" applyNumberFormat="1" applyFont="1" applyFill="1" applyAlignment="1">
      <alignment horizontal="right"/>
    </xf>
    <xf numFmtId="165" fontId="6" fillId="5" borderId="0" xfId="0" applyNumberFormat="1" applyFont="1" applyFill="1" applyAlignment="1">
      <alignment horizontal="right"/>
    </xf>
    <xf numFmtId="164" fontId="7" fillId="5" borderId="0" xfId="0" applyNumberFormat="1" applyFont="1" applyFill="1" applyAlignment="1">
      <alignment horizontal="right"/>
    </xf>
    <xf numFmtId="9" fontId="6" fillId="5" borderId="0" xfId="0" applyNumberFormat="1" applyFont="1" applyFill="1" applyAlignment="1">
      <alignment horizontal="right"/>
    </xf>
    <xf numFmtId="0" fontId="0" fillId="5" borderId="0" xfId="0" applyFill="1"/>
    <xf numFmtId="0" fontId="9" fillId="3" borderId="0" xfId="0" applyFont="1" applyFill="1"/>
    <xf numFmtId="164" fontId="9" fillId="3" borderId="0" xfId="0" applyNumberFormat="1" applyFont="1" applyFill="1" applyAlignment="1">
      <alignment horizontal="right"/>
    </xf>
    <xf numFmtId="165" fontId="6" fillId="0" borderId="0" xfId="0" applyNumberFormat="1" applyFont="1"/>
    <xf numFmtId="165" fontId="7" fillId="0" borderId="0" xfId="0" applyNumberFormat="1" applyFont="1"/>
    <xf numFmtId="0" fontId="10" fillId="0" borderId="0" xfId="0" applyFont="1"/>
    <xf numFmtId="165" fontId="6" fillId="5" borderId="0" xfId="0" applyNumberFormat="1" applyFont="1" applyFill="1"/>
    <xf numFmtId="165" fontId="7" fillId="5" borderId="0" xfId="0" applyNumberFormat="1" applyFont="1" applyFill="1"/>
    <xf numFmtId="0" fontId="10" fillId="5" borderId="0" xfId="0" applyFont="1" applyFill="1"/>
    <xf numFmtId="164" fontId="6" fillId="0" borderId="0" xfId="0" applyNumberFormat="1" applyFont="1"/>
    <xf numFmtId="164" fontId="6" fillId="5" borderId="0" xfId="0" applyNumberFormat="1" applyFont="1" applyFill="1"/>
    <xf numFmtId="164" fontId="7" fillId="5" borderId="0" xfId="0" applyNumberFormat="1" applyFont="1" applyFill="1"/>
    <xf numFmtId="1" fontId="6" fillId="0" borderId="0" xfId="0" applyNumberFormat="1" applyFont="1"/>
    <xf numFmtId="1" fontId="6" fillId="4" borderId="0" xfId="0" applyNumberFormat="1" applyFont="1" applyFill="1" applyAlignment="1">
      <alignment horizontal="right"/>
    </xf>
    <xf numFmtId="1" fontId="6" fillId="5" borderId="0" xfId="0" applyNumberFormat="1" applyFont="1" applyFill="1"/>
    <xf numFmtId="1" fontId="6" fillId="5" borderId="0" xfId="0" applyNumberFormat="1" applyFont="1" applyFill="1" applyAlignment="1">
      <alignment horizontal="right"/>
    </xf>
    <xf numFmtId="1" fontId="9" fillId="3" borderId="0" xfId="0" applyNumberFormat="1" applyFont="1" applyFill="1" applyAlignment="1">
      <alignment horizontal="right"/>
    </xf>
    <xf numFmtId="164" fontId="11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64" fontId="11" fillId="5" borderId="0" xfId="0" applyNumberFormat="1" applyFont="1" applyFill="1" applyAlignment="1">
      <alignment horizontal="right"/>
    </xf>
    <xf numFmtId="165" fontId="7" fillId="5" borderId="0" xfId="0" applyNumberFormat="1" applyFont="1" applyFill="1" applyAlignment="1">
      <alignment horizontal="right"/>
    </xf>
    <xf numFmtId="164" fontId="12" fillId="3" borderId="0" xfId="0" applyNumberFormat="1" applyFont="1" applyFill="1" applyAlignment="1">
      <alignment horizontal="right"/>
    </xf>
    <xf numFmtId="165" fontId="12" fillId="3" borderId="0" xfId="0" applyNumberFormat="1" applyFont="1" applyFill="1" applyAlignment="1">
      <alignment horizontal="right"/>
    </xf>
    <xf numFmtId="0" fontId="9" fillId="2" borderId="0" xfId="0" applyFont="1" applyFill="1"/>
    <xf numFmtId="164" fontId="9" fillId="2" borderId="0" xfId="0" applyNumberFormat="1" applyFont="1" applyFill="1" applyAlignment="1">
      <alignment horizontal="right"/>
    </xf>
    <xf numFmtId="164" fontId="12" fillId="2" borderId="0" xfId="0" applyNumberFormat="1" applyFont="1" applyFill="1" applyAlignment="1">
      <alignment horizontal="right"/>
    </xf>
    <xf numFmtId="165" fontId="12" fillId="2" borderId="0" xfId="0" applyNumberFormat="1" applyFont="1" applyFill="1" applyAlignment="1">
      <alignment horizontal="right"/>
    </xf>
    <xf numFmtId="0" fontId="5" fillId="0" borderId="0" xfId="0" applyFont="1" applyAlignment="1"/>
    <xf numFmtId="165" fontId="1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B7949-587C-4FCD-A7FD-147BCBDF4050}">
  <dimension ref="A1:H32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 x14ac:dyDescent="0.25"/>
  <cols>
    <col min="1" max="1" width="28.7109375" customWidth="1"/>
    <col min="2" max="2" width="18.7109375" customWidth="1"/>
    <col min="3" max="3" width="16.7109375" customWidth="1"/>
    <col min="4" max="4" width="18.7109375" customWidth="1"/>
    <col min="5" max="7" width="12.7109375" customWidth="1"/>
    <col min="8" max="8" width="38.7109375" customWidth="1"/>
  </cols>
  <sheetData>
    <row r="1" spans="1:8" ht="26.1" customHeight="1" x14ac:dyDescent="0.25">
      <c r="A1" s="1" t="s">
        <v>0</v>
      </c>
      <c r="B1" s="2"/>
      <c r="C1" s="2"/>
      <c r="D1" s="2"/>
      <c r="E1" s="2"/>
      <c r="F1" s="2"/>
      <c r="G1" s="2"/>
    </row>
    <row r="3" spans="1:8" x14ac:dyDescent="0.25">
      <c r="A3" s="3" t="s">
        <v>1</v>
      </c>
    </row>
    <row r="5" spans="1:8" x14ac:dyDescent="0.25">
      <c r="A5" s="4" t="s">
        <v>2</v>
      </c>
      <c r="B5" s="5"/>
      <c r="C5" s="5"/>
      <c r="D5" s="5"/>
      <c r="E5" s="5"/>
      <c r="F5" s="5"/>
      <c r="G5" s="5"/>
    </row>
    <row r="6" spans="1:8" ht="27.95" customHeight="1" x14ac:dyDescent="0.25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</row>
    <row r="7" spans="1:8" x14ac:dyDescent="0.25">
      <c r="A7" s="8" t="s">
        <v>10</v>
      </c>
      <c r="B7" s="9"/>
      <c r="C7" s="10"/>
      <c r="D7" s="12">
        <f>B7*(1+C7)</f>
        <v>0</v>
      </c>
      <c r="E7" s="13"/>
      <c r="F7" s="13"/>
      <c r="H7" s="14" t="s">
        <v>11</v>
      </c>
    </row>
    <row r="8" spans="1:8" x14ac:dyDescent="0.25">
      <c r="A8" s="15" t="s">
        <v>12</v>
      </c>
      <c r="B8" s="16"/>
      <c r="C8" s="17"/>
      <c r="D8" s="18">
        <f>B8*(1+C8)</f>
        <v>0</v>
      </c>
      <c r="E8" s="19"/>
      <c r="F8" s="19"/>
      <c r="G8" s="20"/>
      <c r="H8" s="14" t="s">
        <v>11</v>
      </c>
    </row>
    <row r="9" spans="1:8" x14ac:dyDescent="0.25">
      <c r="A9" s="8" t="s">
        <v>13</v>
      </c>
      <c r="B9" s="9"/>
      <c r="C9" s="10"/>
      <c r="D9" s="12">
        <f>B9*(1+C9)</f>
        <v>0</v>
      </c>
      <c r="E9" s="13"/>
      <c r="F9" s="13"/>
      <c r="H9" s="14" t="s">
        <v>11</v>
      </c>
    </row>
    <row r="10" spans="1:8" x14ac:dyDescent="0.25">
      <c r="A10" s="15" t="s">
        <v>14</v>
      </c>
      <c r="B10" s="16"/>
      <c r="C10" s="17"/>
      <c r="D10" s="18">
        <f>B10*(1+C10)</f>
        <v>0</v>
      </c>
      <c r="E10" s="19"/>
      <c r="F10" s="19"/>
      <c r="G10" s="20"/>
      <c r="H10" s="14" t="s">
        <v>11</v>
      </c>
    </row>
    <row r="11" spans="1:8" x14ac:dyDescent="0.25">
      <c r="A11" s="8" t="s">
        <v>15</v>
      </c>
      <c r="B11" s="9"/>
      <c r="C11" s="10"/>
      <c r="D11" s="12">
        <f>B11*(1+C11)</f>
        <v>0</v>
      </c>
      <c r="E11" s="13"/>
      <c r="F11" s="13"/>
      <c r="H11" s="14" t="s">
        <v>11</v>
      </c>
    </row>
    <row r="12" spans="1:8" x14ac:dyDescent="0.25">
      <c r="A12" s="21" t="s">
        <v>16</v>
      </c>
      <c r="B12" s="22">
        <f>SUM(B7:B11)</f>
        <v>0</v>
      </c>
      <c r="C12" s="22">
        <f>SUM(C7:C11)</f>
        <v>0</v>
      </c>
      <c r="D12" s="22">
        <f>SUM(D7:D11)</f>
        <v>0</v>
      </c>
    </row>
    <row r="14" spans="1:8" x14ac:dyDescent="0.25">
      <c r="A14" s="4" t="s">
        <v>17</v>
      </c>
      <c r="B14" s="5"/>
      <c r="C14" s="5"/>
      <c r="D14" s="5"/>
      <c r="E14" s="5"/>
      <c r="F14" s="5"/>
      <c r="G14" s="5"/>
    </row>
    <row r="15" spans="1:8" ht="27.95" customHeight="1" x14ac:dyDescent="0.25">
      <c r="A15" s="7" t="s">
        <v>18</v>
      </c>
      <c r="B15" s="7" t="s">
        <v>19</v>
      </c>
      <c r="C15" s="7" t="s">
        <v>20</v>
      </c>
      <c r="D15" s="7" t="s">
        <v>21</v>
      </c>
      <c r="E15" s="7" t="s">
        <v>22</v>
      </c>
      <c r="F15" s="7"/>
      <c r="G15" s="7" t="s">
        <v>9</v>
      </c>
    </row>
    <row r="16" spans="1:8" x14ac:dyDescent="0.25">
      <c r="A16" s="15" t="s">
        <v>23</v>
      </c>
      <c r="B16" s="17"/>
      <c r="C16" s="26">
        <v>0.6</v>
      </c>
      <c r="D16" s="27">
        <f>B16-C16</f>
        <v>-0.6</v>
      </c>
      <c r="E16" s="28" t="s">
        <v>24</v>
      </c>
      <c r="F16" s="20"/>
      <c r="G16" s="20"/>
    </row>
    <row r="17" spans="1:7" x14ac:dyDescent="0.25">
      <c r="A17" s="8" t="s">
        <v>25</v>
      </c>
      <c r="B17" s="10"/>
      <c r="C17" s="23">
        <v>0.09</v>
      </c>
      <c r="D17" s="24">
        <f>B17-C17</f>
        <v>-0.09</v>
      </c>
      <c r="E17" s="25" t="s">
        <v>24</v>
      </c>
    </row>
    <row r="18" spans="1:7" x14ac:dyDescent="0.25">
      <c r="A18" s="15" t="s">
        <v>26</v>
      </c>
      <c r="B18" s="17"/>
      <c r="C18" s="26">
        <v>0.16</v>
      </c>
      <c r="D18" s="27">
        <f>B18-C18</f>
        <v>-0.16</v>
      </c>
      <c r="E18" s="28" t="s">
        <v>24</v>
      </c>
      <c r="F18" s="20"/>
      <c r="G18" s="20"/>
    </row>
    <row r="19" spans="1:7" x14ac:dyDescent="0.25">
      <c r="A19" s="8" t="s">
        <v>27</v>
      </c>
      <c r="B19" s="10"/>
      <c r="C19" s="23">
        <v>0.08</v>
      </c>
      <c r="D19" s="24">
        <f>B19-C19</f>
        <v>-0.08</v>
      </c>
      <c r="E19" s="25" t="s">
        <v>24</v>
      </c>
    </row>
    <row r="20" spans="1:7" x14ac:dyDescent="0.25">
      <c r="A20" s="15" t="s">
        <v>28</v>
      </c>
      <c r="B20" s="16"/>
      <c r="C20" s="30">
        <v>165000</v>
      </c>
      <c r="D20" s="31">
        <f>B20-C20</f>
        <v>-165000</v>
      </c>
      <c r="E20" s="28" t="s">
        <v>29</v>
      </c>
      <c r="F20" s="20"/>
      <c r="G20" s="20"/>
    </row>
    <row r="21" spans="1:7" x14ac:dyDescent="0.25">
      <c r="A21" s="8" t="s">
        <v>30</v>
      </c>
      <c r="B21" s="9"/>
      <c r="C21" s="29">
        <v>50000</v>
      </c>
      <c r="D21" s="11">
        <f>B21-C21</f>
        <v>-50000</v>
      </c>
      <c r="E21" s="25" t="s">
        <v>29</v>
      </c>
    </row>
    <row r="22" spans="1:7" x14ac:dyDescent="0.25">
      <c r="A22" s="15" t="s">
        <v>31</v>
      </c>
      <c r="B22" s="17"/>
      <c r="C22" s="26">
        <v>0.21</v>
      </c>
      <c r="D22" s="27">
        <f>B22-C22</f>
        <v>-0.21</v>
      </c>
      <c r="E22" s="28" t="s">
        <v>32</v>
      </c>
      <c r="F22" s="20"/>
      <c r="G22" s="20"/>
    </row>
    <row r="25" spans="1:7" x14ac:dyDescent="0.25">
      <c r="A25" s="4" t="s">
        <v>33</v>
      </c>
      <c r="B25" s="5"/>
      <c r="C25" s="5"/>
      <c r="D25" s="5"/>
      <c r="E25" s="5"/>
      <c r="F25" s="5"/>
      <c r="G25" s="5"/>
    </row>
    <row r="26" spans="1:7" ht="27.95" customHeight="1" x14ac:dyDescent="0.25">
      <c r="A26" s="7" t="s">
        <v>34</v>
      </c>
      <c r="B26" s="7" t="s">
        <v>35</v>
      </c>
      <c r="C26" s="7" t="s">
        <v>36</v>
      </c>
      <c r="D26" s="7" t="s">
        <v>37</v>
      </c>
    </row>
    <row r="27" spans="1:7" x14ac:dyDescent="0.25">
      <c r="A27" s="8" t="s">
        <v>38</v>
      </c>
      <c r="B27" s="32">
        <v>45</v>
      </c>
      <c r="C27" s="33"/>
      <c r="D27" s="9"/>
    </row>
    <row r="28" spans="1:7" x14ac:dyDescent="0.25">
      <c r="A28" s="15" t="s">
        <v>39</v>
      </c>
      <c r="B28" s="34">
        <v>30</v>
      </c>
      <c r="C28" s="35"/>
      <c r="D28" s="16"/>
    </row>
    <row r="29" spans="1:7" x14ac:dyDescent="0.25">
      <c r="A29" s="8" t="s">
        <v>40</v>
      </c>
      <c r="B29" s="32">
        <v>15</v>
      </c>
      <c r="C29" s="33"/>
      <c r="D29" s="9"/>
    </row>
    <row r="30" spans="1:7" x14ac:dyDescent="0.25">
      <c r="A30" s="15" t="s">
        <v>41</v>
      </c>
      <c r="B30" s="34">
        <v>20</v>
      </c>
      <c r="C30" s="35"/>
      <c r="D30" s="16"/>
    </row>
    <row r="31" spans="1:7" x14ac:dyDescent="0.25">
      <c r="A31" s="8" t="s">
        <v>42</v>
      </c>
      <c r="B31" s="32">
        <v>25</v>
      </c>
      <c r="C31" s="33"/>
      <c r="D31" s="9"/>
    </row>
    <row r="32" spans="1:7" x14ac:dyDescent="0.25">
      <c r="A32" s="21" t="s">
        <v>43</v>
      </c>
      <c r="B32" s="36">
        <f>SUM(B27:B31)</f>
        <v>135</v>
      </c>
      <c r="C32" s="36">
        <f>SUM(C27:C31)</f>
        <v>0</v>
      </c>
    </row>
  </sheetData>
  <mergeCells count="4">
    <mergeCell ref="A1:G1"/>
    <mergeCell ref="A5:G5"/>
    <mergeCell ref="A14:G14"/>
    <mergeCell ref="A25:G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0FAA6-1192-48D4-A4FE-1692E932DC98}">
  <dimension ref="A1:P3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30.7109375" customWidth="1"/>
    <col min="2" max="13" width="10.7109375" customWidth="1"/>
    <col min="14" max="15" width="14.7109375" customWidth="1"/>
    <col min="16" max="16" width="12.7109375" customWidth="1"/>
  </cols>
  <sheetData>
    <row r="1" spans="1:16" ht="26.1" customHeight="1" x14ac:dyDescent="0.25">
      <c r="A1" s="1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spans="1:16" ht="27.95" customHeight="1" x14ac:dyDescent="0.25">
      <c r="A3" s="7" t="s">
        <v>45</v>
      </c>
      <c r="B3" s="7" t="s">
        <v>46</v>
      </c>
      <c r="C3" s="7" t="s">
        <v>47</v>
      </c>
      <c r="D3" s="7" t="s">
        <v>48</v>
      </c>
      <c r="E3" s="7" t="s">
        <v>49</v>
      </c>
      <c r="F3" s="7" t="s">
        <v>50</v>
      </c>
      <c r="G3" s="7" t="s">
        <v>51</v>
      </c>
      <c r="H3" s="7" t="s">
        <v>52</v>
      </c>
      <c r="I3" s="7" t="s">
        <v>53</v>
      </c>
      <c r="J3" s="7" t="s">
        <v>54</v>
      </c>
      <c r="K3" s="7" t="s">
        <v>55</v>
      </c>
      <c r="L3" s="7" t="s">
        <v>56</v>
      </c>
      <c r="M3" s="7" t="s">
        <v>57</v>
      </c>
      <c r="N3" s="7" t="s">
        <v>58</v>
      </c>
      <c r="O3" s="7" t="s">
        <v>59</v>
      </c>
      <c r="P3" s="7" t="s">
        <v>60</v>
      </c>
    </row>
    <row r="5" spans="1:16" x14ac:dyDescent="0.25">
      <c r="A5" s="4" t="s">
        <v>61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25">
      <c r="A6" s="15" t="s">
        <v>10</v>
      </c>
      <c r="B6" s="39">
        <f>Assumptions!D7/12</f>
        <v>0</v>
      </c>
      <c r="C6" s="39">
        <f>Assumptions!D7/12</f>
        <v>0</v>
      </c>
      <c r="D6" s="39">
        <f>Assumptions!D7/12</f>
        <v>0</v>
      </c>
      <c r="E6" s="39">
        <f>Assumptions!D7/12</f>
        <v>0</v>
      </c>
      <c r="F6" s="39">
        <f>Assumptions!D7/12</f>
        <v>0</v>
      </c>
      <c r="G6" s="39">
        <f>Assumptions!D7/12</f>
        <v>0</v>
      </c>
      <c r="H6" s="39">
        <f>Assumptions!D7/12</f>
        <v>0</v>
      </c>
      <c r="I6" s="39">
        <f>Assumptions!D7/12</f>
        <v>0</v>
      </c>
      <c r="J6" s="39">
        <f>Assumptions!D7/12</f>
        <v>0</v>
      </c>
      <c r="K6" s="39">
        <f>Assumptions!D7/12</f>
        <v>0</v>
      </c>
      <c r="L6" s="39">
        <f>Assumptions!D7/12</f>
        <v>0</v>
      </c>
      <c r="M6" s="39">
        <f>Assumptions!D7/12</f>
        <v>0</v>
      </c>
      <c r="N6" s="18">
        <f>SUM(B6:M6)</f>
        <v>0</v>
      </c>
      <c r="O6" s="39">
        <f>Assumptions!B7</f>
        <v>0</v>
      </c>
      <c r="P6" s="40">
        <f>IF(O6&lt;&gt;0,(N6-O6)/ABS(O6),0)</f>
        <v>0</v>
      </c>
    </row>
    <row r="7" spans="1:16" x14ac:dyDescent="0.25">
      <c r="A7" s="8" t="s">
        <v>12</v>
      </c>
      <c r="B7" s="37">
        <f>Assumptions!D8/12</f>
        <v>0</v>
      </c>
      <c r="C7" s="37">
        <f>Assumptions!D8/12</f>
        <v>0</v>
      </c>
      <c r="D7" s="37">
        <f>Assumptions!D8/12</f>
        <v>0</v>
      </c>
      <c r="E7" s="37">
        <f>Assumptions!D8/12</f>
        <v>0</v>
      </c>
      <c r="F7" s="37">
        <f>Assumptions!D8/12</f>
        <v>0</v>
      </c>
      <c r="G7" s="37">
        <f>Assumptions!D8/12</f>
        <v>0</v>
      </c>
      <c r="H7" s="37">
        <f>Assumptions!D8/12</f>
        <v>0</v>
      </c>
      <c r="I7" s="37">
        <f>Assumptions!D8/12</f>
        <v>0</v>
      </c>
      <c r="J7" s="37">
        <f>Assumptions!D8/12</f>
        <v>0</v>
      </c>
      <c r="K7" s="37">
        <f>Assumptions!D8/12</f>
        <v>0</v>
      </c>
      <c r="L7" s="37">
        <f>Assumptions!D8/12</f>
        <v>0</v>
      </c>
      <c r="M7" s="37">
        <f>Assumptions!D8/12</f>
        <v>0</v>
      </c>
      <c r="N7" s="12">
        <f>SUM(B7:M7)</f>
        <v>0</v>
      </c>
      <c r="O7" s="37">
        <f>Assumptions!B8</f>
        <v>0</v>
      </c>
      <c r="P7" s="38">
        <f>IF(O7&lt;&gt;0,(N7-O7)/ABS(O7),0)</f>
        <v>0</v>
      </c>
    </row>
    <row r="8" spans="1:16" x14ac:dyDescent="0.25">
      <c r="A8" s="15" t="s">
        <v>13</v>
      </c>
      <c r="B8" s="39">
        <f>Assumptions!D9/12</f>
        <v>0</v>
      </c>
      <c r="C8" s="39">
        <f>Assumptions!D9/12</f>
        <v>0</v>
      </c>
      <c r="D8" s="39">
        <f>Assumptions!D9/12</f>
        <v>0</v>
      </c>
      <c r="E8" s="39">
        <f>Assumptions!D9/12</f>
        <v>0</v>
      </c>
      <c r="F8" s="39">
        <f>Assumptions!D9/12</f>
        <v>0</v>
      </c>
      <c r="G8" s="39">
        <f>Assumptions!D9/12</f>
        <v>0</v>
      </c>
      <c r="H8" s="39">
        <f>Assumptions!D9/12</f>
        <v>0</v>
      </c>
      <c r="I8" s="39">
        <f>Assumptions!D9/12</f>
        <v>0</v>
      </c>
      <c r="J8" s="39">
        <f>Assumptions!D9/12</f>
        <v>0</v>
      </c>
      <c r="K8" s="39">
        <f>Assumptions!D9/12</f>
        <v>0</v>
      </c>
      <c r="L8" s="39">
        <f>Assumptions!D9/12</f>
        <v>0</v>
      </c>
      <c r="M8" s="39">
        <f>Assumptions!D9/12</f>
        <v>0</v>
      </c>
      <c r="N8" s="18">
        <f>SUM(B8:M8)</f>
        <v>0</v>
      </c>
      <c r="O8" s="39">
        <f>Assumptions!B9</f>
        <v>0</v>
      </c>
      <c r="P8" s="40">
        <f>IF(O8&lt;&gt;0,(N8-O8)/ABS(O8),0)</f>
        <v>0</v>
      </c>
    </row>
    <row r="9" spans="1:16" x14ac:dyDescent="0.25">
      <c r="A9" s="8" t="s">
        <v>14</v>
      </c>
      <c r="B9" s="37">
        <f>Assumptions!D10/12</f>
        <v>0</v>
      </c>
      <c r="C9" s="37">
        <f>Assumptions!D10/12</f>
        <v>0</v>
      </c>
      <c r="D9" s="37">
        <f>Assumptions!D10/12</f>
        <v>0</v>
      </c>
      <c r="E9" s="37">
        <f>Assumptions!D10/12</f>
        <v>0</v>
      </c>
      <c r="F9" s="37">
        <f>Assumptions!D10/12</f>
        <v>0</v>
      </c>
      <c r="G9" s="37">
        <f>Assumptions!D10/12</f>
        <v>0</v>
      </c>
      <c r="H9" s="37">
        <f>Assumptions!D10/12</f>
        <v>0</v>
      </c>
      <c r="I9" s="37">
        <f>Assumptions!D10/12</f>
        <v>0</v>
      </c>
      <c r="J9" s="37">
        <f>Assumptions!D10/12</f>
        <v>0</v>
      </c>
      <c r="K9" s="37">
        <f>Assumptions!D10/12</f>
        <v>0</v>
      </c>
      <c r="L9" s="37">
        <f>Assumptions!D10/12</f>
        <v>0</v>
      </c>
      <c r="M9" s="37">
        <f>Assumptions!D10/12</f>
        <v>0</v>
      </c>
      <c r="N9" s="12">
        <f>SUM(B9:M9)</f>
        <v>0</v>
      </c>
      <c r="O9" s="37">
        <f>Assumptions!B10</f>
        <v>0</v>
      </c>
      <c r="P9" s="38">
        <f>IF(O9&lt;&gt;0,(N9-O9)/ABS(O9),0)</f>
        <v>0</v>
      </c>
    </row>
    <row r="10" spans="1:16" x14ac:dyDescent="0.25">
      <c r="A10" s="15" t="s">
        <v>15</v>
      </c>
      <c r="B10" s="39">
        <f>Assumptions!D11/12</f>
        <v>0</v>
      </c>
      <c r="C10" s="39">
        <f>Assumptions!D11/12</f>
        <v>0</v>
      </c>
      <c r="D10" s="39">
        <f>Assumptions!D11/12</f>
        <v>0</v>
      </c>
      <c r="E10" s="39">
        <f>Assumptions!D11/12</f>
        <v>0</v>
      </c>
      <c r="F10" s="39">
        <f>Assumptions!D11/12</f>
        <v>0</v>
      </c>
      <c r="G10" s="39">
        <f>Assumptions!D11/12</f>
        <v>0</v>
      </c>
      <c r="H10" s="39">
        <f>Assumptions!D11/12</f>
        <v>0</v>
      </c>
      <c r="I10" s="39">
        <f>Assumptions!D11/12</f>
        <v>0</v>
      </c>
      <c r="J10" s="39">
        <f>Assumptions!D11/12</f>
        <v>0</v>
      </c>
      <c r="K10" s="39">
        <f>Assumptions!D11/12</f>
        <v>0</v>
      </c>
      <c r="L10" s="39">
        <f>Assumptions!D11/12</f>
        <v>0</v>
      </c>
      <c r="M10" s="39">
        <f>Assumptions!D11/12</f>
        <v>0</v>
      </c>
      <c r="N10" s="18">
        <f>SUM(B10:M10)</f>
        <v>0</v>
      </c>
      <c r="O10" s="39">
        <f>Assumptions!B11</f>
        <v>0</v>
      </c>
      <c r="P10" s="40">
        <f>IF(O10&lt;&gt;0,(N10-O10)/ABS(O10),0)</f>
        <v>0</v>
      </c>
    </row>
    <row r="11" spans="1:16" x14ac:dyDescent="0.25">
      <c r="A11" s="21" t="s">
        <v>16</v>
      </c>
      <c r="B11" s="22">
        <f>SUM(B6:B10)</f>
        <v>0</v>
      </c>
      <c r="C11" s="22">
        <f>SUM(C6:C10)</f>
        <v>0</v>
      </c>
      <c r="D11" s="22">
        <f>SUM(D6:D10)</f>
        <v>0</v>
      </c>
      <c r="E11" s="22">
        <f>SUM(E6:E10)</f>
        <v>0</v>
      </c>
      <c r="F11" s="22">
        <f>SUM(F6:F10)</f>
        <v>0</v>
      </c>
      <c r="G11" s="22">
        <f>SUM(G6:G10)</f>
        <v>0</v>
      </c>
      <c r="H11" s="22">
        <f>SUM(H6:H10)</f>
        <v>0</v>
      </c>
      <c r="I11" s="22">
        <f>SUM(I6:I10)</f>
        <v>0</v>
      </c>
      <c r="J11" s="22">
        <f>SUM(J6:J10)</f>
        <v>0</v>
      </c>
      <c r="K11" s="22">
        <f>SUM(K6:K10)</f>
        <v>0</v>
      </c>
      <c r="L11" s="22">
        <f>SUM(L6:L10)</f>
        <v>0</v>
      </c>
      <c r="M11" s="22">
        <f>SUM(M6:M10)</f>
        <v>0</v>
      </c>
      <c r="N11" s="22">
        <f>SUM(N6:N10)</f>
        <v>0</v>
      </c>
      <c r="O11" s="41">
        <f>SUM(O6:O10)</f>
        <v>0</v>
      </c>
      <c r="P11" s="42">
        <f>IF(O11&lt;&gt;0,(N11-O11)/ABS(O11),0)</f>
        <v>0</v>
      </c>
    </row>
    <row r="13" spans="1:16" x14ac:dyDescent="0.25">
      <c r="A13" s="4" t="s">
        <v>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8" t="s">
        <v>63</v>
      </c>
      <c r="B14" s="12">
        <f>B11*(1-Assumptions!B16)</f>
        <v>0</v>
      </c>
      <c r="C14" s="12">
        <f>C11*(1-Assumptions!B16)</f>
        <v>0</v>
      </c>
      <c r="D14" s="12">
        <f>D11*(1-Assumptions!B16)</f>
        <v>0</v>
      </c>
      <c r="E14" s="12">
        <f>E11*(1-Assumptions!B16)</f>
        <v>0</v>
      </c>
      <c r="F14" s="12">
        <f>F11*(1-Assumptions!B16)</f>
        <v>0</v>
      </c>
      <c r="G14" s="12">
        <f>G11*(1-Assumptions!B16)</f>
        <v>0</v>
      </c>
      <c r="H14" s="12">
        <f>H11*(1-Assumptions!B16)</f>
        <v>0</v>
      </c>
      <c r="I14" s="12">
        <f>I11*(1-Assumptions!B16)</f>
        <v>0</v>
      </c>
      <c r="J14" s="12">
        <f>J11*(1-Assumptions!B16)</f>
        <v>0</v>
      </c>
      <c r="K14" s="12">
        <f>K11*(1-Assumptions!B16)</f>
        <v>0</v>
      </c>
      <c r="L14" s="12">
        <f>L11*(1-Assumptions!B16)</f>
        <v>0</v>
      </c>
      <c r="M14" s="12">
        <f>M11*(1-Assumptions!B16)</f>
        <v>0</v>
      </c>
      <c r="N14" s="12">
        <f>SUM(B14:M14)</f>
        <v>0</v>
      </c>
      <c r="O14" s="37">
        <f>O11*(1-Assumptions!C16)</f>
        <v>0</v>
      </c>
      <c r="P14" s="38">
        <f>IF(O14&lt;&gt;0,(N14-O14)/ABS(O14),0)</f>
        <v>0</v>
      </c>
    </row>
    <row r="15" spans="1:16" x14ac:dyDescent="0.25">
      <c r="A15" s="43" t="s">
        <v>64</v>
      </c>
      <c r="B15" s="44">
        <f>B11-B14</f>
        <v>0</v>
      </c>
      <c r="C15" s="44">
        <f>C11-C14</f>
        <v>0</v>
      </c>
      <c r="D15" s="44">
        <f>D11-D14</f>
        <v>0</v>
      </c>
      <c r="E15" s="44">
        <f>E11-E14</f>
        <v>0</v>
      </c>
      <c r="F15" s="44">
        <f>F11-F14</f>
        <v>0</v>
      </c>
      <c r="G15" s="44">
        <f>G11-G14</f>
        <v>0</v>
      </c>
      <c r="H15" s="44">
        <f>H11-H14</f>
        <v>0</v>
      </c>
      <c r="I15" s="44">
        <f>I11-I14</f>
        <v>0</v>
      </c>
      <c r="J15" s="44">
        <f>J11-J14</f>
        <v>0</v>
      </c>
      <c r="K15" s="44">
        <f>K11-K14</f>
        <v>0</v>
      </c>
      <c r="L15" s="44">
        <f>L11-L14</f>
        <v>0</v>
      </c>
      <c r="M15" s="44">
        <f>M11-M14</f>
        <v>0</v>
      </c>
      <c r="N15" s="44">
        <f>N11-N14</f>
        <v>0</v>
      </c>
      <c r="O15" s="45">
        <f>O11-O14</f>
        <v>0</v>
      </c>
      <c r="P15" s="46">
        <f>IF(O15&lt;&gt;0,(N15-O15)/ABS(O15),0)</f>
        <v>0</v>
      </c>
    </row>
    <row r="16" spans="1:16" x14ac:dyDescent="0.25">
      <c r="A16" s="47" t="s">
        <v>65</v>
      </c>
      <c r="B16" s="48">
        <f>IF(B11&lt;&gt;0,B15/B11,0)</f>
        <v>0</v>
      </c>
      <c r="C16" s="48">
        <f>IF(C11&lt;&gt;0,C15/C11,0)</f>
        <v>0</v>
      </c>
      <c r="D16" s="48">
        <f>IF(D11&lt;&gt;0,D15/D11,0)</f>
        <v>0</v>
      </c>
      <c r="E16" s="48">
        <f>IF(E11&lt;&gt;0,E15/E11,0)</f>
        <v>0</v>
      </c>
      <c r="F16" s="48">
        <f>IF(F11&lt;&gt;0,F15/F11,0)</f>
        <v>0</v>
      </c>
      <c r="G16" s="48">
        <f>IF(G11&lt;&gt;0,G15/G11,0)</f>
        <v>0</v>
      </c>
      <c r="H16" s="48">
        <f>IF(H11&lt;&gt;0,H15/H11,0)</f>
        <v>0</v>
      </c>
      <c r="I16" s="48">
        <f>IF(I11&lt;&gt;0,I15/I11,0)</f>
        <v>0</v>
      </c>
      <c r="J16" s="48">
        <f>IF(J11&lt;&gt;0,J15/J11,0)</f>
        <v>0</v>
      </c>
      <c r="K16" s="48">
        <f>IF(K11&lt;&gt;0,K15/K11,0)</f>
        <v>0</v>
      </c>
      <c r="L16" s="48">
        <f>IF(L11&lt;&gt;0,L15/L11,0)</f>
        <v>0</v>
      </c>
      <c r="M16" s="48">
        <f>IF(M11&lt;&gt;0,M15/M11,0)</f>
        <v>0</v>
      </c>
      <c r="N16" s="48">
        <f>IF(N11&lt;&gt;0,N15/N11,0)</f>
        <v>0</v>
      </c>
      <c r="O16" s="48">
        <f>IF(O11&lt;&gt;0,O15/O11,0)</f>
        <v>0</v>
      </c>
    </row>
    <row r="18" spans="1:16" x14ac:dyDescent="0.25">
      <c r="A18" s="4" t="s">
        <v>66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25">
      <c r="A19" s="8" t="s">
        <v>67</v>
      </c>
      <c r="B19" s="12">
        <f>B11*Assumptions!B17</f>
        <v>0</v>
      </c>
      <c r="C19" s="12">
        <f>C11*Assumptions!B17</f>
        <v>0</v>
      </c>
      <c r="D19" s="12">
        <f>D11*Assumptions!B17</f>
        <v>0</v>
      </c>
      <c r="E19" s="12">
        <f>E11*Assumptions!B17</f>
        <v>0</v>
      </c>
      <c r="F19" s="12">
        <f>F11*Assumptions!B17</f>
        <v>0</v>
      </c>
      <c r="G19" s="12">
        <f>G11*Assumptions!B17</f>
        <v>0</v>
      </c>
      <c r="H19" s="12">
        <f>H11*Assumptions!B17</f>
        <v>0</v>
      </c>
      <c r="I19" s="12">
        <f>I11*Assumptions!B17</f>
        <v>0</v>
      </c>
      <c r="J19" s="12">
        <f>J11*Assumptions!B17</f>
        <v>0</v>
      </c>
      <c r="K19" s="12">
        <f>K11*Assumptions!B17</f>
        <v>0</v>
      </c>
      <c r="L19" s="12">
        <f>L11*Assumptions!B17</f>
        <v>0</v>
      </c>
      <c r="M19" s="12">
        <f>M11*Assumptions!B17</f>
        <v>0</v>
      </c>
      <c r="N19" s="12">
        <f>SUM(B19:M19)</f>
        <v>0</v>
      </c>
      <c r="O19" s="37">
        <f>O11*Assumptions!C17</f>
        <v>0</v>
      </c>
      <c r="P19" s="38">
        <f>IF(O19&lt;&gt;0,(N19-O19)/ABS(O19),0)</f>
        <v>0</v>
      </c>
    </row>
    <row r="20" spans="1:16" x14ac:dyDescent="0.25">
      <c r="A20" s="15" t="s">
        <v>68</v>
      </c>
      <c r="B20" s="18">
        <f>B11*Assumptions!B18</f>
        <v>0</v>
      </c>
      <c r="C20" s="18">
        <f>C11*Assumptions!B18</f>
        <v>0</v>
      </c>
      <c r="D20" s="18">
        <f>D11*Assumptions!B18</f>
        <v>0</v>
      </c>
      <c r="E20" s="18">
        <f>E11*Assumptions!B18</f>
        <v>0</v>
      </c>
      <c r="F20" s="18">
        <f>F11*Assumptions!B18</f>
        <v>0</v>
      </c>
      <c r="G20" s="18">
        <f>G11*Assumptions!B18</f>
        <v>0</v>
      </c>
      <c r="H20" s="18">
        <f>H11*Assumptions!B18</f>
        <v>0</v>
      </c>
      <c r="I20" s="18">
        <f>I11*Assumptions!B18</f>
        <v>0</v>
      </c>
      <c r="J20" s="18">
        <f>J11*Assumptions!B18</f>
        <v>0</v>
      </c>
      <c r="K20" s="18">
        <f>K11*Assumptions!B18</f>
        <v>0</v>
      </c>
      <c r="L20" s="18">
        <f>L11*Assumptions!B18</f>
        <v>0</v>
      </c>
      <c r="M20" s="18">
        <f>M11*Assumptions!B18</f>
        <v>0</v>
      </c>
      <c r="N20" s="18">
        <f>SUM(B20:M20)</f>
        <v>0</v>
      </c>
      <c r="O20" s="39">
        <f>O11*Assumptions!C18</f>
        <v>0</v>
      </c>
      <c r="P20" s="40">
        <f>IF(O20&lt;&gt;0,(N20-O20)/ABS(O20),0)</f>
        <v>0</v>
      </c>
    </row>
    <row r="21" spans="1:16" x14ac:dyDescent="0.25">
      <c r="A21" s="8" t="s">
        <v>69</v>
      </c>
      <c r="B21" s="12">
        <f>B11*Assumptions!B19</f>
        <v>0</v>
      </c>
      <c r="C21" s="12">
        <f>C11*Assumptions!B19</f>
        <v>0</v>
      </c>
      <c r="D21" s="12">
        <f>D11*Assumptions!B19</f>
        <v>0</v>
      </c>
      <c r="E21" s="12">
        <f>E11*Assumptions!B19</f>
        <v>0</v>
      </c>
      <c r="F21" s="12">
        <f>F11*Assumptions!B19</f>
        <v>0</v>
      </c>
      <c r="G21" s="12">
        <f>G11*Assumptions!B19</f>
        <v>0</v>
      </c>
      <c r="H21" s="12">
        <f>H11*Assumptions!B19</f>
        <v>0</v>
      </c>
      <c r="I21" s="12">
        <f>I11*Assumptions!B19</f>
        <v>0</v>
      </c>
      <c r="J21" s="12">
        <f>J11*Assumptions!B19</f>
        <v>0</v>
      </c>
      <c r="K21" s="12">
        <f>K11*Assumptions!B19</f>
        <v>0</v>
      </c>
      <c r="L21" s="12">
        <f>L11*Assumptions!B19</f>
        <v>0</v>
      </c>
      <c r="M21" s="12">
        <f>M11*Assumptions!B19</f>
        <v>0</v>
      </c>
      <c r="N21" s="12">
        <f>SUM(B21:M21)</f>
        <v>0</v>
      </c>
      <c r="O21" s="37">
        <f>O11*Assumptions!C19</f>
        <v>0</v>
      </c>
      <c r="P21" s="38">
        <f>IF(O21&lt;&gt;0,(N21-O21)/ABS(O21),0)</f>
        <v>0</v>
      </c>
    </row>
    <row r="22" spans="1:16" x14ac:dyDescent="0.25">
      <c r="A22" s="8" t="s">
        <v>70</v>
      </c>
      <c r="B22" s="37">
        <f>Assumptions!B20/12</f>
        <v>0</v>
      </c>
      <c r="C22" s="37">
        <f>Assumptions!B20/12</f>
        <v>0</v>
      </c>
      <c r="D22" s="37">
        <f>Assumptions!B20/12</f>
        <v>0</v>
      </c>
      <c r="E22" s="37">
        <f>Assumptions!B20/12</f>
        <v>0</v>
      </c>
      <c r="F22" s="37">
        <f>Assumptions!B20/12</f>
        <v>0</v>
      </c>
      <c r="G22" s="37">
        <f>Assumptions!B20/12</f>
        <v>0</v>
      </c>
      <c r="H22" s="37">
        <f>Assumptions!B20/12</f>
        <v>0</v>
      </c>
      <c r="I22" s="37">
        <f>Assumptions!B20/12</f>
        <v>0</v>
      </c>
      <c r="J22" s="37">
        <f>Assumptions!B20/12</f>
        <v>0</v>
      </c>
      <c r="K22" s="37">
        <f>Assumptions!B20/12</f>
        <v>0</v>
      </c>
      <c r="L22" s="37">
        <f>Assumptions!B20/12</f>
        <v>0</v>
      </c>
      <c r="M22" s="37">
        <f>Assumptions!B20/12</f>
        <v>0</v>
      </c>
      <c r="N22" s="12">
        <f>SUM(B22:M22)</f>
        <v>0</v>
      </c>
      <c r="O22" s="37">
        <f>Assumptions!C20</f>
        <v>165000</v>
      </c>
      <c r="P22" s="38">
        <f>IF(O22&lt;&gt;0,(N22-O22)/ABS(O22),0)</f>
        <v>-1</v>
      </c>
    </row>
    <row r="23" spans="1:16" x14ac:dyDescent="0.25">
      <c r="A23" s="21" t="s">
        <v>71</v>
      </c>
      <c r="B23" s="22">
        <f>SUM(B19:B22)</f>
        <v>0</v>
      </c>
      <c r="C23" s="22">
        <f>SUM(C19:C22)</f>
        <v>0</v>
      </c>
      <c r="D23" s="22">
        <f>SUM(D19:D22)</f>
        <v>0</v>
      </c>
      <c r="E23" s="22">
        <f>SUM(E19:E22)</f>
        <v>0</v>
      </c>
      <c r="F23" s="22">
        <f>SUM(F19:F22)</f>
        <v>0</v>
      </c>
      <c r="G23" s="22">
        <f>SUM(G19:G22)</f>
        <v>0</v>
      </c>
      <c r="H23" s="22">
        <f>SUM(H19:H22)</f>
        <v>0</v>
      </c>
      <c r="I23" s="22">
        <f>SUM(I19:I22)</f>
        <v>0</v>
      </c>
      <c r="J23" s="22">
        <f>SUM(J19:J22)</f>
        <v>0</v>
      </c>
      <c r="K23" s="22">
        <f>SUM(K19:K22)</f>
        <v>0</v>
      </c>
      <c r="L23" s="22">
        <f>SUM(L19:L22)</f>
        <v>0</v>
      </c>
      <c r="M23" s="22">
        <f>SUM(M19:M22)</f>
        <v>0</v>
      </c>
      <c r="N23" s="22">
        <f>SUM(N19:N22)</f>
        <v>0</v>
      </c>
      <c r="O23" s="41">
        <f>SUM(O19:O22)</f>
        <v>165000</v>
      </c>
      <c r="P23" s="42">
        <f>IF(O23&lt;&gt;0,(N23-O23)/ABS(O23),0)</f>
        <v>-1</v>
      </c>
    </row>
    <row r="25" spans="1:16" x14ac:dyDescent="0.25">
      <c r="A25" s="43" t="s">
        <v>72</v>
      </c>
      <c r="B25" s="44">
        <f>B15-B23+B22</f>
        <v>0</v>
      </c>
      <c r="C25" s="44">
        <f>C15-C23+C22</f>
        <v>0</v>
      </c>
      <c r="D25" s="44">
        <f>D15-D23+D22</f>
        <v>0</v>
      </c>
      <c r="E25" s="44">
        <f>E15-E23+E22</f>
        <v>0</v>
      </c>
      <c r="F25" s="44">
        <f>F15-F23+F22</f>
        <v>0</v>
      </c>
      <c r="G25" s="44">
        <f>G15-G23+G22</f>
        <v>0</v>
      </c>
      <c r="H25" s="44">
        <f>H15-H23+H22</f>
        <v>0</v>
      </c>
      <c r="I25" s="44">
        <f>I15-I23+I22</f>
        <v>0</v>
      </c>
      <c r="J25" s="44">
        <f>J15-J23+J22</f>
        <v>0</v>
      </c>
      <c r="K25" s="44">
        <f>K15-K23+K22</f>
        <v>0</v>
      </c>
      <c r="L25" s="44">
        <f>L15-L23+L22</f>
        <v>0</v>
      </c>
      <c r="M25" s="44">
        <f>M15-M23+M22</f>
        <v>0</v>
      </c>
      <c r="N25" s="44">
        <f>N15-N23+N22</f>
        <v>0</v>
      </c>
      <c r="O25" s="45">
        <f>O15-O23+O22</f>
        <v>0</v>
      </c>
      <c r="P25" s="46">
        <f>IF(O25&lt;&gt;0,(N25-O25)/ABS(O25),0)</f>
        <v>0</v>
      </c>
    </row>
    <row r="26" spans="1:16" x14ac:dyDescent="0.25">
      <c r="A26" s="47" t="s">
        <v>73</v>
      </c>
      <c r="B26" s="48">
        <f>IF(B11&lt;&gt;0,B25/B11,0)</f>
        <v>0</v>
      </c>
      <c r="C26" s="48">
        <f>IF(C11&lt;&gt;0,C25/C11,0)</f>
        <v>0</v>
      </c>
      <c r="D26" s="48">
        <f>IF(D11&lt;&gt;0,D25/D11,0)</f>
        <v>0</v>
      </c>
      <c r="E26" s="48">
        <f>IF(E11&lt;&gt;0,E25/E11,0)</f>
        <v>0</v>
      </c>
      <c r="F26" s="48">
        <f>IF(F11&lt;&gt;0,F25/F11,0)</f>
        <v>0</v>
      </c>
      <c r="G26" s="48">
        <f>IF(G11&lt;&gt;0,G25/G11,0)</f>
        <v>0</v>
      </c>
      <c r="H26" s="48">
        <f>IF(H11&lt;&gt;0,H25/H11,0)</f>
        <v>0</v>
      </c>
      <c r="I26" s="48">
        <f>IF(I11&lt;&gt;0,I25/I11,0)</f>
        <v>0</v>
      </c>
      <c r="J26" s="48">
        <f>IF(J11&lt;&gt;0,J25/J11,0)</f>
        <v>0</v>
      </c>
      <c r="K26" s="48">
        <f>IF(K11&lt;&gt;0,K25/K11,0)</f>
        <v>0</v>
      </c>
      <c r="L26" s="48">
        <f>IF(L11&lt;&gt;0,L25/L11,0)</f>
        <v>0</v>
      </c>
      <c r="M26" s="48">
        <f>IF(M11&lt;&gt;0,M25/M11,0)</f>
        <v>0</v>
      </c>
      <c r="N26" s="48">
        <f>IF(N11&lt;&gt;0,N25/N11,0)</f>
        <v>0</v>
      </c>
      <c r="O26" s="48">
        <f>IF(O11&lt;&gt;0,O25/O11,0)</f>
        <v>0</v>
      </c>
    </row>
    <row r="28" spans="1:16" x14ac:dyDescent="0.25">
      <c r="A28" s="8" t="s">
        <v>74</v>
      </c>
      <c r="B28" s="37">
        <f>Assumptions!B21/12</f>
        <v>0</v>
      </c>
      <c r="C28" s="37">
        <f>Assumptions!B21/12</f>
        <v>0</v>
      </c>
      <c r="D28" s="37">
        <f>Assumptions!B21/12</f>
        <v>0</v>
      </c>
      <c r="E28" s="37">
        <f>Assumptions!B21/12</f>
        <v>0</v>
      </c>
      <c r="F28" s="37">
        <f>Assumptions!B21/12</f>
        <v>0</v>
      </c>
      <c r="G28" s="37">
        <f>Assumptions!B21/12</f>
        <v>0</v>
      </c>
      <c r="H28" s="37">
        <f>Assumptions!B21/12</f>
        <v>0</v>
      </c>
      <c r="I28" s="37">
        <f>Assumptions!B21/12</f>
        <v>0</v>
      </c>
      <c r="J28" s="37">
        <f>Assumptions!B21/12</f>
        <v>0</v>
      </c>
      <c r="K28" s="37">
        <f>Assumptions!B21/12</f>
        <v>0</v>
      </c>
      <c r="L28" s="37">
        <f>Assumptions!B21/12</f>
        <v>0</v>
      </c>
      <c r="M28" s="37">
        <f>Assumptions!B21/12</f>
        <v>0</v>
      </c>
      <c r="N28" s="12">
        <f>SUM(B28:M28)</f>
        <v>0</v>
      </c>
      <c r="O28" s="37">
        <f>Assumptions!C21</f>
        <v>50000</v>
      </c>
      <c r="P28" s="38">
        <f>IF(O28&lt;&gt;0,(N28-O28)/ABS(O28),0)</f>
        <v>-1</v>
      </c>
    </row>
    <row r="29" spans="1:16" x14ac:dyDescent="0.25">
      <c r="A29" s="21" t="s">
        <v>75</v>
      </c>
      <c r="B29" s="22">
        <f>B25-B22-B28</f>
        <v>0</v>
      </c>
      <c r="C29" s="22">
        <f>C25-C22-C28</f>
        <v>0</v>
      </c>
      <c r="D29" s="22">
        <f>D25-D22-D28</f>
        <v>0</v>
      </c>
      <c r="E29" s="22">
        <f>E25-E22-E28</f>
        <v>0</v>
      </c>
      <c r="F29" s="22">
        <f>F25-F22-F28</f>
        <v>0</v>
      </c>
      <c r="G29" s="22">
        <f>G25-G22-G28</f>
        <v>0</v>
      </c>
      <c r="H29" s="22">
        <f>H25-H22-H28</f>
        <v>0</v>
      </c>
      <c r="I29" s="22">
        <f>I25-I22-I28</f>
        <v>0</v>
      </c>
      <c r="J29" s="22">
        <f>J25-J22-J28</f>
        <v>0</v>
      </c>
      <c r="K29" s="22">
        <f>K25-K22-K28</f>
        <v>0</v>
      </c>
      <c r="L29" s="22">
        <f>L25-L22-L28</f>
        <v>0</v>
      </c>
      <c r="M29" s="22">
        <f>M25-M22-M28</f>
        <v>0</v>
      </c>
      <c r="N29" s="22">
        <f>N25-N22-N28</f>
        <v>0</v>
      </c>
      <c r="O29" s="41">
        <f>O25-O22-O28</f>
        <v>-215000</v>
      </c>
      <c r="P29" s="42">
        <f>IF(O29&lt;&gt;0,(N29-O29)/ABS(O29),0)</f>
        <v>1</v>
      </c>
    </row>
    <row r="30" spans="1:16" x14ac:dyDescent="0.25">
      <c r="A30" s="8" t="s">
        <v>76</v>
      </c>
      <c r="B30" s="12">
        <f>MAX(B29*Assumptions!B22,0)</f>
        <v>0</v>
      </c>
      <c r="C30" s="12">
        <f>MAX(C29*Assumptions!B22,0)</f>
        <v>0</v>
      </c>
      <c r="D30" s="12">
        <f>MAX(D29*Assumptions!B22,0)</f>
        <v>0</v>
      </c>
      <c r="E30" s="12">
        <f>MAX(E29*Assumptions!B22,0)</f>
        <v>0</v>
      </c>
      <c r="F30" s="12">
        <f>MAX(F29*Assumptions!B22,0)</f>
        <v>0</v>
      </c>
      <c r="G30" s="12">
        <f>MAX(G29*Assumptions!B22,0)</f>
        <v>0</v>
      </c>
      <c r="H30" s="12">
        <f>MAX(H29*Assumptions!B22,0)</f>
        <v>0</v>
      </c>
      <c r="I30" s="12">
        <f>MAX(I29*Assumptions!B22,0)</f>
        <v>0</v>
      </c>
      <c r="J30" s="12">
        <f>MAX(J29*Assumptions!B22,0)</f>
        <v>0</v>
      </c>
      <c r="K30" s="12">
        <f>MAX(K29*Assumptions!B22,0)</f>
        <v>0</v>
      </c>
      <c r="L30" s="12">
        <f>MAX(L29*Assumptions!B22,0)</f>
        <v>0</v>
      </c>
      <c r="M30" s="12">
        <f>MAX(M29*Assumptions!B22,0)</f>
        <v>0</v>
      </c>
      <c r="N30" s="12">
        <f>SUM(B30:M30)</f>
        <v>0</v>
      </c>
      <c r="O30" s="37">
        <f>MAX(O29*Assumptions!C22,0)</f>
        <v>0</v>
      </c>
      <c r="P30" s="38">
        <f>IF(O30&lt;&gt;0,(N30-O30)/ABS(O30),0)</f>
        <v>0</v>
      </c>
    </row>
    <row r="31" spans="1:16" x14ac:dyDescent="0.25">
      <c r="A31" s="43" t="s">
        <v>77</v>
      </c>
      <c r="B31" s="44">
        <f>B29-B30</f>
        <v>0</v>
      </c>
      <c r="C31" s="44">
        <f>C29-C30</f>
        <v>0</v>
      </c>
      <c r="D31" s="44">
        <f>D29-D30</f>
        <v>0</v>
      </c>
      <c r="E31" s="44">
        <f>E29-E30</f>
        <v>0</v>
      </c>
      <c r="F31" s="44">
        <f>F29-F30</f>
        <v>0</v>
      </c>
      <c r="G31" s="44">
        <f>G29-G30</f>
        <v>0</v>
      </c>
      <c r="H31" s="44">
        <f>H29-H30</f>
        <v>0</v>
      </c>
      <c r="I31" s="44">
        <f>I29-I30</f>
        <v>0</v>
      </c>
      <c r="J31" s="44">
        <f>J29-J30</f>
        <v>0</v>
      </c>
      <c r="K31" s="44">
        <f>K29-K30</f>
        <v>0</v>
      </c>
      <c r="L31" s="44">
        <f>L29-L30</f>
        <v>0</v>
      </c>
      <c r="M31" s="44">
        <f>M29-M30</f>
        <v>0</v>
      </c>
      <c r="N31" s="44">
        <f>N29-N30</f>
        <v>0</v>
      </c>
      <c r="O31" s="45">
        <f>O29-O30</f>
        <v>-215000</v>
      </c>
      <c r="P31" s="46">
        <f>IF(O31&lt;&gt;0,(N31-O31)/ABS(O31),0)</f>
        <v>1</v>
      </c>
    </row>
    <row r="32" spans="1:16" x14ac:dyDescent="0.25">
      <c r="A32" s="47" t="s">
        <v>78</v>
      </c>
      <c r="B32" s="48">
        <f>IF(B11&lt;&gt;0,B31/B11,0)</f>
        <v>0</v>
      </c>
      <c r="C32" s="48">
        <f>IF(C11&lt;&gt;0,C31/C11,0)</f>
        <v>0</v>
      </c>
      <c r="D32" s="48">
        <f>IF(D11&lt;&gt;0,D31/D11,0)</f>
        <v>0</v>
      </c>
      <c r="E32" s="48">
        <f>IF(E11&lt;&gt;0,E31/E11,0)</f>
        <v>0</v>
      </c>
      <c r="F32" s="48">
        <f>IF(F11&lt;&gt;0,F31/F11,0)</f>
        <v>0</v>
      </c>
      <c r="G32" s="48">
        <f>IF(G11&lt;&gt;0,G31/G11,0)</f>
        <v>0</v>
      </c>
      <c r="H32" s="48">
        <f>IF(H11&lt;&gt;0,H31/H11,0)</f>
        <v>0</v>
      </c>
      <c r="I32" s="48">
        <f>IF(I11&lt;&gt;0,I31/I11,0)</f>
        <v>0</v>
      </c>
      <c r="J32" s="48">
        <f>IF(J11&lt;&gt;0,J31/J11,0)</f>
        <v>0</v>
      </c>
      <c r="K32" s="48">
        <f>IF(K11&lt;&gt;0,K31/K11,0)</f>
        <v>0</v>
      </c>
      <c r="L32" s="48">
        <f>IF(L11&lt;&gt;0,L31/L11,0)</f>
        <v>0</v>
      </c>
      <c r="M32" s="48">
        <f>IF(M11&lt;&gt;0,M31/M11,0)</f>
        <v>0</v>
      </c>
      <c r="N32" s="48">
        <f>IF(N11&lt;&gt;0,N31/N11,0)</f>
        <v>0</v>
      </c>
      <c r="O32" s="48">
        <f>IF(O11&lt;&gt;0,O31/O11,0)</f>
        <v>0</v>
      </c>
    </row>
  </sheetData>
  <mergeCells count="4">
    <mergeCell ref="A1:P1"/>
    <mergeCell ref="A5:P5"/>
    <mergeCell ref="A13:P13"/>
    <mergeCell ref="A18:P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FF53D-73EA-4F48-91D2-872098049C79}">
  <dimension ref="A1:I21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 x14ac:dyDescent="0.25"/>
  <cols>
    <col min="1" max="1" width="26.7109375" customWidth="1"/>
    <col min="2" max="9" width="16.7109375" customWidth="1"/>
  </cols>
  <sheetData>
    <row r="1" spans="1:9" ht="26.1" customHeight="1" x14ac:dyDescent="0.25">
      <c r="A1" s="1" t="s">
        <v>79</v>
      </c>
      <c r="B1" s="2"/>
      <c r="C1" s="2"/>
      <c r="D1" s="2"/>
      <c r="E1" s="2"/>
      <c r="F1" s="2"/>
      <c r="G1" s="2"/>
      <c r="H1" s="2"/>
      <c r="I1" s="2"/>
    </row>
    <row r="3" spans="1:9" x14ac:dyDescent="0.25">
      <c r="A3" s="3" t="s">
        <v>80</v>
      </c>
    </row>
    <row r="4" spans="1:9" x14ac:dyDescent="0.25">
      <c r="A4" s="6" t="s">
        <v>81</v>
      </c>
      <c r="B4" s="33"/>
    </row>
    <row r="6" spans="1:9" ht="27.95" customHeight="1" x14ac:dyDescent="0.25">
      <c r="A6" s="7" t="s">
        <v>82</v>
      </c>
      <c r="B6" s="7" t="s">
        <v>83</v>
      </c>
      <c r="C6" s="7" t="s">
        <v>84</v>
      </c>
      <c r="D6" s="7" t="s">
        <v>85</v>
      </c>
      <c r="E6" s="7" t="s">
        <v>86</v>
      </c>
      <c r="F6" s="7" t="s">
        <v>87</v>
      </c>
      <c r="G6" s="7" t="s">
        <v>88</v>
      </c>
      <c r="H6" s="7" t="s">
        <v>89</v>
      </c>
      <c r="I6" s="7" t="s">
        <v>90</v>
      </c>
    </row>
    <row r="7" spans="1:9" x14ac:dyDescent="0.25">
      <c r="A7" s="21" t="s">
        <v>16</v>
      </c>
      <c r="B7" s="41">
        <f>IFERROR(SUMPRODUCT((COLUMN(Budget_PL!B11:M11)-1&lt;=$B$4)*Budget_PL!B11:M11),0)</f>
        <v>0</v>
      </c>
      <c r="C7" s="9"/>
      <c r="D7" s="41">
        <f>IFERROR(C7-B7,0)</f>
        <v>0</v>
      </c>
      <c r="E7" s="42">
        <f>IFERROR(IF(B7&lt;&gt;0,(C7-B7)/ABS(B7),0),0)</f>
        <v>0</v>
      </c>
      <c r="F7" s="41">
        <f>IFERROR(Budget_PL!N11,0)</f>
        <v>0</v>
      </c>
      <c r="G7" s="9"/>
      <c r="H7" s="41">
        <f>IFERROR(G7-F7,0)</f>
        <v>0</v>
      </c>
      <c r="I7" s="42">
        <f>IFERROR(IF(F7&lt;&gt;0,(G7-F7)/ABS(F7),0),0)</f>
        <v>0</v>
      </c>
    </row>
    <row r="8" spans="1:9" x14ac:dyDescent="0.25">
      <c r="A8" s="21" t="s">
        <v>64</v>
      </c>
      <c r="B8" s="41">
        <f>IFERROR(SUMPRODUCT((COLUMN(Budget_PL!B15:M15)-1&lt;=$B$4)*Budget_PL!B15:M15),0)</f>
        <v>0</v>
      </c>
      <c r="C8" s="9"/>
      <c r="D8" s="41">
        <f>IFERROR(C8-B8,0)</f>
        <v>0</v>
      </c>
      <c r="E8" s="42">
        <f>IFERROR(IF(B8&lt;&gt;0,(C8-B8)/ABS(B8),0),0)</f>
        <v>0</v>
      </c>
      <c r="F8" s="41">
        <f>IFERROR(Budget_PL!N15,0)</f>
        <v>0</v>
      </c>
      <c r="G8" s="9"/>
      <c r="H8" s="41">
        <f>IFERROR(G8-F8,0)</f>
        <v>0</v>
      </c>
      <c r="I8" s="42">
        <f>IFERROR(IF(F8&lt;&gt;0,(G8-F8)/ABS(F8),0),0)</f>
        <v>0</v>
      </c>
    </row>
    <row r="9" spans="1:9" x14ac:dyDescent="0.25">
      <c r="A9" s="8" t="s">
        <v>65</v>
      </c>
      <c r="B9" s="38">
        <f>IFERROR(SUMPRODUCT((COLUMN(Budget_PL!B16:M16)-1&lt;=$B$4)*Budget_PL!B16:M16),0)</f>
        <v>0</v>
      </c>
      <c r="C9" s="10"/>
      <c r="D9" s="38">
        <f>IFERROR(C9-B9,0)</f>
        <v>0</v>
      </c>
      <c r="E9" s="38">
        <f>IFERROR(IF(B9&lt;&gt;0,(C9-B9)/ABS(B9),0),0)</f>
        <v>0</v>
      </c>
      <c r="F9" s="38">
        <f>IFERROR(Budget_PL!N16,0)</f>
        <v>0</v>
      </c>
      <c r="G9" s="10"/>
      <c r="H9" s="38">
        <f>IFERROR(G9-F9,0)</f>
        <v>0</v>
      </c>
      <c r="I9" s="38">
        <f>IFERROR(IF(F9&lt;&gt;0,(G9-F9)/ABS(F9),0),0)</f>
        <v>0</v>
      </c>
    </row>
    <row r="10" spans="1:9" x14ac:dyDescent="0.25">
      <c r="A10" s="15" t="s">
        <v>91</v>
      </c>
      <c r="B10" s="18">
        <f>IFERROR(SUMPRODUCT((COLUMN(Budget_PL!B19:M19)-1&lt;=$B$4)*Budget_PL!B19:M19),0)</f>
        <v>0</v>
      </c>
      <c r="C10" s="9"/>
      <c r="D10" s="18">
        <f>IFERROR(C10-B10,0)</f>
        <v>0</v>
      </c>
      <c r="E10" s="40">
        <f>IFERROR(IF(B10&lt;&gt;0,(C10-B10)/ABS(B10),0),0)</f>
        <v>0</v>
      </c>
      <c r="F10" s="18">
        <f>IFERROR(Budget_PL!N19,0)</f>
        <v>0</v>
      </c>
      <c r="G10" s="9"/>
      <c r="H10" s="18">
        <f>IFERROR(G10-F10,0)</f>
        <v>0</v>
      </c>
      <c r="I10" s="40">
        <f>IFERROR(IF(F10&lt;&gt;0,(G10-F10)/ABS(F10),0),0)</f>
        <v>0</v>
      </c>
    </row>
    <row r="11" spans="1:9" x14ac:dyDescent="0.25">
      <c r="A11" s="8" t="s">
        <v>68</v>
      </c>
      <c r="B11" s="12">
        <f>IFERROR(SUMPRODUCT((COLUMN(Budget_PL!B20:M20)-1&lt;=$B$4)*Budget_PL!B20:M20),0)</f>
        <v>0</v>
      </c>
      <c r="C11" s="9"/>
      <c r="D11" s="12">
        <f>IFERROR(C11-B11,0)</f>
        <v>0</v>
      </c>
      <c r="E11" s="38">
        <f>IFERROR(IF(B11&lt;&gt;0,(C11-B11)/ABS(B11),0),0)</f>
        <v>0</v>
      </c>
      <c r="F11" s="12">
        <f>IFERROR(Budget_PL!N20,0)</f>
        <v>0</v>
      </c>
      <c r="G11" s="9"/>
      <c r="H11" s="12">
        <f>IFERROR(G11-F11,0)</f>
        <v>0</v>
      </c>
      <c r="I11" s="38">
        <f>IFERROR(IF(F11&lt;&gt;0,(G11-F11)/ABS(F11),0),0)</f>
        <v>0</v>
      </c>
    </row>
    <row r="12" spans="1:9" x14ac:dyDescent="0.25">
      <c r="A12" s="15" t="s">
        <v>41</v>
      </c>
      <c r="B12" s="18">
        <f>IFERROR(SUMPRODUCT((COLUMN(Budget_PL!B21:M21)-1&lt;=$B$4)*Budget_PL!B21:M21),0)</f>
        <v>0</v>
      </c>
      <c r="C12" s="9"/>
      <c r="D12" s="18">
        <f>IFERROR(C12-B12,0)</f>
        <v>0</v>
      </c>
      <c r="E12" s="40">
        <f>IFERROR(IF(B12&lt;&gt;0,(C12-B12)/ABS(B12),0),0)</f>
        <v>0</v>
      </c>
      <c r="F12" s="18">
        <f>IFERROR(Budget_PL!N21,0)</f>
        <v>0</v>
      </c>
      <c r="G12" s="9"/>
      <c r="H12" s="18">
        <f>IFERROR(G12-F12,0)</f>
        <v>0</v>
      </c>
      <c r="I12" s="40">
        <f>IFERROR(IF(F12&lt;&gt;0,(G12-F12)/ABS(F12),0),0)</f>
        <v>0</v>
      </c>
    </row>
    <row r="13" spans="1:9" x14ac:dyDescent="0.25">
      <c r="A13" s="8" t="s">
        <v>92</v>
      </c>
      <c r="B13" s="12">
        <f>IFERROR(SUMPRODUCT((COLUMN(Budget_PL!B22:M22)-1&lt;=$B$4)*Budget_PL!B22:M22),0)</f>
        <v>0</v>
      </c>
      <c r="C13" s="9"/>
      <c r="D13" s="12">
        <f>IFERROR(C13-B13,0)</f>
        <v>0</v>
      </c>
      <c r="E13" s="38">
        <f>IFERROR(IF(B13&lt;&gt;0,(C13-B13)/ABS(B13),0),0)</f>
        <v>0</v>
      </c>
      <c r="F13" s="12">
        <f>IFERROR(Budget_PL!N22,0)</f>
        <v>0</v>
      </c>
      <c r="G13" s="9"/>
      <c r="H13" s="12">
        <f>IFERROR(G13-F13,0)</f>
        <v>0</v>
      </c>
      <c r="I13" s="38">
        <f>IFERROR(IF(F13&lt;&gt;0,(G13-F13)/ABS(F13),0),0)</f>
        <v>0</v>
      </c>
    </row>
    <row r="14" spans="1:9" x14ac:dyDescent="0.25">
      <c r="A14" s="21" t="s">
        <v>71</v>
      </c>
      <c r="B14" s="41">
        <f>IFERROR(SUMPRODUCT((COLUMN(Budget_PL!B23:M23)-1&lt;=$B$4)*Budget_PL!B23:M23),0)</f>
        <v>0</v>
      </c>
      <c r="C14" s="9"/>
      <c r="D14" s="41">
        <f>IFERROR(C14-B14,0)</f>
        <v>0</v>
      </c>
      <c r="E14" s="42">
        <f>IFERROR(IF(B14&lt;&gt;0,(C14-B14)/ABS(B14),0),0)</f>
        <v>0</v>
      </c>
      <c r="F14" s="41">
        <f>IFERROR(Budget_PL!N23,0)</f>
        <v>0</v>
      </c>
      <c r="G14" s="9"/>
      <c r="H14" s="41">
        <f>IFERROR(G14-F14,0)</f>
        <v>0</v>
      </c>
      <c r="I14" s="42">
        <f>IFERROR(IF(F14&lt;&gt;0,(G14-F14)/ABS(F14),0),0)</f>
        <v>0</v>
      </c>
    </row>
    <row r="15" spans="1:9" x14ac:dyDescent="0.25">
      <c r="A15" s="21" t="s">
        <v>72</v>
      </c>
      <c r="B15" s="41">
        <f>IFERROR(SUMPRODUCT((COLUMN(Budget_PL!B25:M25)-1&lt;=$B$4)*Budget_PL!B25:M25),0)</f>
        <v>0</v>
      </c>
      <c r="C15" s="9"/>
      <c r="D15" s="41">
        <f>IFERROR(C15-B15,0)</f>
        <v>0</v>
      </c>
      <c r="E15" s="42">
        <f>IFERROR(IF(B15&lt;&gt;0,(C15-B15)/ABS(B15),0),0)</f>
        <v>0</v>
      </c>
      <c r="F15" s="41">
        <f>IFERROR(Budget_PL!N25,0)</f>
        <v>0</v>
      </c>
      <c r="G15" s="9"/>
      <c r="H15" s="41">
        <f>IFERROR(G15-F15,0)</f>
        <v>0</v>
      </c>
      <c r="I15" s="42">
        <f>IFERROR(IF(F15&lt;&gt;0,(G15-F15)/ABS(F15),0),0)</f>
        <v>0</v>
      </c>
    </row>
    <row r="16" spans="1:9" x14ac:dyDescent="0.25">
      <c r="A16" s="15" t="s">
        <v>73</v>
      </c>
      <c r="B16" s="40">
        <f>IFERROR(SUMPRODUCT((COLUMN(Budget_PL!B26:M26)-1&lt;=$B$4)*Budget_PL!B26:M26),0)</f>
        <v>0</v>
      </c>
      <c r="C16" s="10"/>
      <c r="D16" s="40">
        <f>IFERROR(C16-B16,0)</f>
        <v>0</v>
      </c>
      <c r="E16" s="40">
        <f>IFERROR(IF(B16&lt;&gt;0,(C16-B16)/ABS(B16),0),0)</f>
        <v>0</v>
      </c>
      <c r="F16" s="40">
        <f>IFERROR(Budget_PL!N26,0)</f>
        <v>0</v>
      </c>
      <c r="G16" s="10"/>
      <c r="H16" s="40">
        <f>IFERROR(G16-F16,0)</f>
        <v>0</v>
      </c>
      <c r="I16" s="40">
        <f>IFERROR(IF(F16&lt;&gt;0,(G16-F16)/ABS(F16),0),0)</f>
        <v>0</v>
      </c>
    </row>
    <row r="17" spans="1:9" x14ac:dyDescent="0.25">
      <c r="A17" s="21" t="s">
        <v>77</v>
      </c>
      <c r="B17" s="41">
        <f>IFERROR(SUMPRODUCT((COLUMN(Budget_PL!B31:M31)-1&lt;=$B$4)*Budget_PL!B31:M31),0)</f>
        <v>0</v>
      </c>
      <c r="C17" s="9"/>
      <c r="D17" s="41">
        <f>IFERROR(C17-B17,0)</f>
        <v>0</v>
      </c>
      <c r="E17" s="42">
        <f>IFERROR(IF(B17&lt;&gt;0,(C17-B17)/ABS(B17),0),0)</f>
        <v>0</v>
      </c>
      <c r="F17" s="41">
        <f>IFERROR(Budget_PL!N31,0)</f>
        <v>0</v>
      </c>
      <c r="G17" s="9"/>
      <c r="H17" s="41">
        <f>IFERROR(G17-F17,0)</f>
        <v>0</v>
      </c>
      <c r="I17" s="42">
        <f>IFERROR(IF(F17&lt;&gt;0,(G17-F17)/ABS(F17),0),0)</f>
        <v>0</v>
      </c>
    </row>
    <row r="18" spans="1:9" x14ac:dyDescent="0.25">
      <c r="A18" s="15" t="s">
        <v>78</v>
      </c>
      <c r="B18" s="40">
        <f>IFERROR(SUMPRODUCT((COLUMN(Budget_PL!B32:M32)-1&lt;=$B$4)*Budget_PL!B32:M32),0)</f>
        <v>0</v>
      </c>
      <c r="C18" s="10"/>
      <c r="D18" s="40">
        <f>IFERROR(C18-B18,0)</f>
        <v>0</v>
      </c>
      <c r="E18" s="40">
        <f>IFERROR(IF(B18&lt;&gt;0,(C18-B18)/ABS(B18),0),0)</f>
        <v>0</v>
      </c>
      <c r="F18" s="40">
        <f>IFERROR(Budget_PL!N32,0)</f>
        <v>0</v>
      </c>
      <c r="G18" s="10"/>
      <c r="H18" s="40">
        <f>IFERROR(G18-F18,0)</f>
        <v>0</v>
      </c>
      <c r="I18" s="40">
        <f>IFERROR(IF(F18&lt;&gt;0,(G18-F18)/ABS(F18),0),0)</f>
        <v>0</v>
      </c>
    </row>
    <row r="21" spans="1:9" x14ac:dyDescent="0.25">
      <c r="A21" s="14" t="s">
        <v>93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Budget_PL</vt:lpstr>
      <vt:lpstr>Variance_Tracker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Lopez</dc:creator>
  <cp:lastModifiedBy>Eduardo Lopez</cp:lastModifiedBy>
  <dcterms:created xsi:type="dcterms:W3CDTF">2026-05-28T18:20:27Z</dcterms:created>
  <dcterms:modified xsi:type="dcterms:W3CDTF">2026-05-28T18:20:33Z</dcterms:modified>
</cp:coreProperties>
</file>