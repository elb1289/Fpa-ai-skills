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lop\Skills\"/>
    </mc:Choice>
  </mc:AlternateContent>
  <xr:revisionPtr revIDLastSave="0" documentId="13_ncr:1_{3AACAAF7-EF05-49EA-B254-378F1D41A60D}" xr6:coauthVersionLast="47" xr6:coauthVersionMax="47" xr10:uidLastSave="{00000000-0000-0000-0000-000000000000}"/>
  <bookViews>
    <workbookView xWindow="-120" yWindow="-120" windowWidth="20730" windowHeight="11040" activeTab="3" xr2:uid="{7246172C-F795-4AC4-8284-C068F99537A1}"/>
  </bookViews>
  <sheets>
    <sheet name="KPI_Tracker" sheetId="1" r:id="rId1"/>
    <sheet name="EBITDA_Bridge" sheetId="2" r:id="rId2"/>
    <sheet name="Driver_Analysis" sheetId="3" r:id="rId3"/>
    <sheet name="Exec_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0" i="1" l="1"/>
  <c r="P20" i="1"/>
  <c r="O20" i="1"/>
  <c r="N20" i="1"/>
  <c r="M20" i="1"/>
  <c r="L20" i="1"/>
  <c r="K20" i="1"/>
  <c r="J20" i="1"/>
  <c r="I20" i="1"/>
  <c r="H20" i="1"/>
  <c r="G20" i="1"/>
  <c r="F20" i="1"/>
  <c r="E20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Q9" i="1"/>
  <c r="P9" i="1"/>
  <c r="O9" i="1"/>
  <c r="N9" i="1"/>
  <c r="M9" i="1"/>
  <c r="L9" i="1"/>
  <c r="K9" i="1"/>
  <c r="J9" i="1"/>
  <c r="I9" i="1"/>
  <c r="H9" i="1"/>
  <c r="G9" i="1"/>
  <c r="F9" i="1"/>
  <c r="E9" i="1"/>
  <c r="Q7" i="1"/>
  <c r="P7" i="1"/>
  <c r="O7" i="1"/>
  <c r="N7" i="1"/>
  <c r="M7" i="1"/>
  <c r="L7" i="1"/>
  <c r="K7" i="1"/>
  <c r="J7" i="1"/>
  <c r="I7" i="1"/>
  <c r="H7" i="1"/>
  <c r="G7" i="1"/>
  <c r="F7" i="1"/>
  <c r="E7" i="1"/>
  <c r="G13" i="4"/>
  <c r="E13" i="4"/>
  <c r="D13" i="4"/>
  <c r="G12" i="4"/>
  <c r="E12" i="4"/>
  <c r="D12" i="4"/>
  <c r="G11" i="4"/>
  <c r="E11" i="4"/>
  <c r="D11" i="4"/>
  <c r="G10" i="4"/>
  <c r="E10" i="4"/>
  <c r="D10" i="4"/>
  <c r="G9" i="4"/>
  <c r="E9" i="4"/>
  <c r="D9" i="4"/>
  <c r="G8" i="4"/>
  <c r="E8" i="4"/>
  <c r="D8" i="4"/>
  <c r="G7" i="4"/>
  <c r="E7" i="4"/>
  <c r="D7" i="4"/>
  <c r="G6" i="4"/>
  <c r="E6" i="4"/>
  <c r="D6" i="4"/>
  <c r="J34" i="3"/>
  <c r="I34" i="3"/>
  <c r="H34" i="3"/>
  <c r="G34" i="3"/>
  <c r="F34" i="3"/>
  <c r="J33" i="3"/>
  <c r="I33" i="3"/>
  <c r="H33" i="3"/>
  <c r="G33" i="3"/>
  <c r="F33" i="3"/>
  <c r="J32" i="3"/>
  <c r="I32" i="3"/>
  <c r="H32" i="3"/>
  <c r="G32" i="3"/>
  <c r="F32" i="3"/>
  <c r="J31" i="3"/>
  <c r="I31" i="3"/>
  <c r="H31" i="3"/>
  <c r="G31" i="3"/>
  <c r="F31" i="3"/>
  <c r="J28" i="3"/>
  <c r="I28" i="3"/>
  <c r="H28" i="3"/>
  <c r="G28" i="3"/>
  <c r="F28" i="3"/>
  <c r="J27" i="3"/>
  <c r="I27" i="3"/>
  <c r="H27" i="3"/>
  <c r="G27" i="3"/>
  <c r="F27" i="3"/>
  <c r="J26" i="3"/>
  <c r="I26" i="3"/>
  <c r="H26" i="3"/>
  <c r="G26" i="3"/>
  <c r="F26" i="3"/>
  <c r="J25" i="3"/>
  <c r="I25" i="3"/>
  <c r="H25" i="3"/>
  <c r="G25" i="3"/>
  <c r="F25" i="3"/>
  <c r="J22" i="3"/>
  <c r="I22" i="3"/>
  <c r="H22" i="3"/>
  <c r="G22" i="3"/>
  <c r="F22" i="3"/>
  <c r="J21" i="3"/>
  <c r="I21" i="3"/>
  <c r="H21" i="3"/>
  <c r="G21" i="3"/>
  <c r="F21" i="3"/>
  <c r="J20" i="3"/>
  <c r="I20" i="3"/>
  <c r="H20" i="3"/>
  <c r="G20" i="3"/>
  <c r="F20" i="3"/>
  <c r="J19" i="3"/>
  <c r="I19" i="3"/>
  <c r="H19" i="3"/>
  <c r="G19" i="3"/>
  <c r="F19" i="3"/>
  <c r="J16" i="3"/>
  <c r="I16" i="3"/>
  <c r="H16" i="3"/>
  <c r="G16" i="3"/>
  <c r="F16" i="3"/>
  <c r="J15" i="3"/>
  <c r="I15" i="3"/>
  <c r="H15" i="3"/>
  <c r="G15" i="3"/>
  <c r="F15" i="3"/>
  <c r="J14" i="3"/>
  <c r="I14" i="3"/>
  <c r="H14" i="3"/>
  <c r="G14" i="3"/>
  <c r="F14" i="3"/>
  <c r="J13" i="3"/>
  <c r="I13" i="3"/>
  <c r="H13" i="3"/>
  <c r="G13" i="3"/>
  <c r="F13" i="3"/>
  <c r="J10" i="3"/>
  <c r="I10" i="3"/>
  <c r="H10" i="3"/>
  <c r="G10" i="3"/>
  <c r="F10" i="3"/>
  <c r="J9" i="3"/>
  <c r="I9" i="3"/>
  <c r="H9" i="3"/>
  <c r="G9" i="3"/>
  <c r="F9" i="3"/>
  <c r="J8" i="3"/>
  <c r="I8" i="3"/>
  <c r="H8" i="3"/>
  <c r="G8" i="3"/>
  <c r="F8" i="3"/>
  <c r="J7" i="3"/>
  <c r="I7" i="3"/>
  <c r="H7" i="3"/>
  <c r="G7" i="3"/>
  <c r="F7" i="3"/>
  <c r="C28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Q21" i="1"/>
  <c r="Q19" i="1"/>
  <c r="Q17" i="1"/>
  <c r="Q16" i="1"/>
  <c r="Q15" i="1"/>
  <c r="Q14" i="1"/>
  <c r="Q13" i="1"/>
  <c r="Q11" i="1"/>
  <c r="Q10" i="1"/>
  <c r="Q8" i="1"/>
  <c r="Q6" i="1"/>
</calcChain>
</file>

<file path=xl/sharedStrings.xml><?xml version="1.0" encoding="utf-8"?>
<sst xmlns="http://schemas.openxmlformats.org/spreadsheetml/2006/main" count="193" uniqueCount="155">
  <si>
    <t>FY2026 KPI Tracker — Monthly Performance Drivers</t>
  </si>
  <si>
    <t>KPI / Metric</t>
  </si>
  <si>
    <t>Category</t>
  </si>
  <si>
    <t>FY Target</t>
  </si>
  <si>
    <t>FY25 Actual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</si>
  <si>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</si>
  <si>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</si>
  <si>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</si>
  <si>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</si>
  <si>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</si>
  <si>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</si>
  <si>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</si>
  <si>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</si>
  <si>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</si>
  <si>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</si>
  <si>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</si>
  <si>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</si>
  <si>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Actual</t>
  </si>
  <si>
    <t>Total Revenue ($)</t>
  </si>
  <si>
    <t>Revenue</t>
  </si>
  <si>
    <t>Revenue Growth % YoY</t>
  </si>
  <si>
    <t>New Bookings ($)</t>
  </si>
  <si>
    <t>Revenue per Employee ($)</t>
  </si>
  <si>
    <t>Gross Margin %</t>
  </si>
  <si>
    <t>Margin</t>
  </si>
  <si>
    <t>EBITDA ($)</t>
  </si>
  <si>
    <t>EBITDA Margin %</t>
  </si>
  <si>
    <t>Net Income Margin %</t>
  </si>
  <si>
    <t>OPEX as % Revenue</t>
  </si>
  <si>
    <t>Cost</t>
  </si>
  <si>
    <t>S&amp;M as % Revenue</t>
  </si>
  <si>
    <t>G&amp;A as % Revenue</t>
  </si>
  <si>
    <t>Total Headcount</t>
  </si>
  <si>
    <t>People</t>
  </si>
  <si>
    <t>Revenue per Head ()</t>
  </si>
  <si>
    <t>Customer Count</t>
  </si>
  <si>
    <t>Customer</t>
  </si>
  <si>
    <t>Avg Revenue per Customer</t>
  </si>
  <si>
    <t>Churn Rate %</t>
  </si>
  <si>
    <t>EBITDA Bridge — Prior Year to Current Year Driver Analysis</t>
  </si>
  <si>
    <t>Decomposes the change in EBITDA into individual drivers. Yellow = inputs. Green = cross-sheet. Black = formula.</t>
  </si>
  <si>
    <t>INPUTS — PRIOR YEAR vs CURRENT YEAR</t>
  </si>
  <si>
    <t>Metric</t>
  </si>
  <si>
    <t>Prior Year (FY25)</t>
  </si>
  <si>
    <t>Current Year (FY26)</t>
  </si>
  <si>
    <t>Change ($)</t>
  </si>
  <si>
    <t>Change %</t>
  </si>
  <si>
    <t>Total Revenue</t>
  </si>
  <si>
    <t>Total Units Sold</t>
  </si>
  <si>
    <t>Avg Selling Price</t>
  </si>
  <si>
    <t>Total OPEX</t>
  </si>
  <si>
    <t>OPEX % Revenue</t>
  </si>
  <si>
    <t>EBITDA</t>
  </si>
  <si>
    <t>EBITDA BRIDGE — STEP-BY-STEP DRIVER DECOMPOSITION</t>
  </si>
  <si>
    <t>Driver</t>
  </si>
  <si>
    <t>Description</t>
  </si>
  <si>
    <t>$ Impact</t>
  </si>
  <si>
    <t>Favorable?</t>
  </si>
  <si>
    <t>Calculation Logic</t>
  </si>
  <si>
    <t>Prior Year EBITDA</t>
  </si>
  <si>
    <t>FY2025 EBITDA starting point</t>
  </si>
  <si>
    <t>—</t>
  </si>
  <si>
    <t>+ Volume Effect</t>
  </si>
  <si>
    <t>More units sold at prior year price &amp; margin</t>
  </si>
  <si>
    <t>✓</t>
  </si>
  <si>
    <t>+ Price Effect</t>
  </si>
  <si>
    <t>Higher avg price on prior year volume</t>
  </si>
  <si>
    <t>+ Margin Rate Effect</t>
  </si>
  <si>
    <t>Improved gross margin % on CY revenue</t>
  </si>
  <si>
    <t>+ Revenue Mix Effect</t>
  </si>
  <si>
    <t>Product mix shift impact (residual)</t>
  </si>
  <si>
    <t>?</t>
  </si>
  <si>
    <t>- OPEX Increase</t>
  </si>
  <si>
    <t>Higher opex spend vs prior year</t>
  </si>
  <si>
    <t>✗</t>
  </si>
  <si>
    <t>- OPEX Efficiency Effect</t>
  </si>
  <si>
    <t>OPEX % vs revenue rate improvement</t>
  </si>
  <si>
    <t>FY2026 EBITDA (should match inputs)</t>
  </si>
  <si>
    <t>CHECK: Bridge Tie (should be )</t>
  </si>
  <si>
    <t>Performance Driver Analysis — Root Cause Decomposition</t>
  </si>
  <si>
    <t>Five primary drivers analyzed: Volume, Price, Mix, Cost Efficiency, Productivity. Enter actuals in yellow cells.</t>
  </si>
  <si>
    <t>PY Actual</t>
  </si>
  <si>
    <t>CY Budget</t>
  </si>
  <si>
    <t>CY Actual</t>
  </si>
  <si>
    <t>vs Budget ($)</t>
  </si>
  <si>
    <t>vs Budget %</t>
  </si>
  <si>
    <t>vs PY ($)</t>
  </si>
  <si>
    <t>vs PY %</t>
  </si>
  <si>
    <t>Trend</t>
  </si>
  <si>
    <t>Commentary</t>
  </si>
  <si>
    <t>DRIVER 1: VOLUME</t>
  </si>
  <si>
    <t>Core volume — # transactions/units</t>
  </si>
  <si>
    <t>New Customers</t>
  </si>
  <si>
    <t>Net new logos acquired</t>
  </si>
  <si>
    <t>Existing Customer Rev</t>
  </si>
  <si>
    <t>Expansion/upsell from base</t>
  </si>
  <si>
    <t>Win Rate %</t>
  </si>
  <si>
    <t>Deals won / total pipeline</t>
  </si>
  <si>
    <t>DRIVER 2: PRICE</t>
  </si>
  <si>
    <t>Avg Selling Price ($)</t>
  </si>
  <si>
    <t>Revenue / units sold</t>
  </si>
  <si>
    <t>Discount Rate %</t>
  </si>
  <si>
    <t>Avg discount vs list price</t>
  </si>
  <si>
    <t>List Price Increase</t>
  </si>
  <si>
    <t>YoY list price change</t>
  </si>
  <si>
    <t>Price Realization %</t>
  </si>
  <si>
    <t>Net price / list price</t>
  </si>
  <si>
    <t>DRIVER 3: MIX</t>
  </si>
  <si>
    <t>Product A % of Rev</t>
  </si>
  <si>
    <t>Higher-margin product weight</t>
  </si>
  <si>
    <t>Product B % of Rev</t>
  </si>
  <si>
    <t>Mid-tier product weight</t>
  </si>
  <si>
    <t>Enterprise % of Rev</t>
  </si>
  <si>
    <t>Higher-value segment weight</t>
  </si>
  <si>
    <t>Direct Channel %</t>
  </si>
  <si>
    <t>Higher-margin channel weight</t>
  </si>
  <si>
    <t>DRIVER 4: COST EFFICIENCY</t>
  </si>
  <si>
    <t>COGS per Unit ($)</t>
  </si>
  <si>
    <t>Efficiency of delivery</t>
  </si>
  <si>
    <t>S&amp;M Efficiency (Rev/$)</t>
  </si>
  <si>
    <t>Revenue generated per  S&amp;M</t>
  </si>
  <si>
    <t>G&amp;A Leverage</t>
  </si>
  <si>
    <t>G&amp;A as % of revenue (lower=better)</t>
  </si>
  <si>
    <t>R&amp;D ROI (Rev/R&amp;D $)</t>
  </si>
  <si>
    <t>Revenue per  of R&amp;D spend</t>
  </si>
  <si>
    <t>DRIVER 5: PRODUCTIVITY</t>
  </si>
  <si>
    <t>Revenue per Employee</t>
  </si>
  <si>
    <t>Total revenue / total headcount</t>
  </si>
  <si>
    <t>Quota Attainment %</t>
  </si>
  <si>
    <t>% of reps hitting quota</t>
  </si>
  <si>
    <t>Sales Cycle (days)</t>
  </si>
  <si>
    <t>Avg days from oppty to close</t>
  </si>
  <si>
    <t>NPS Score</t>
  </si>
  <si>
    <t>Net Promoter Score</t>
  </si>
  <si>
    <t>Performance Drivers — Executive Summary</t>
  </si>
  <si>
    <t>FY2026 | As of: May-26 | Prepared by: FP&amp;A</t>
  </si>
  <si>
    <t>FINANCIAL SCORECARD — YTD vs TARGET</t>
  </si>
  <si>
    <t>KPI</t>
  </si>
  <si>
    <t>YTD vs Target</t>
  </si>
  <si>
    <t>Status</t>
  </si>
  <si>
    <t>Prior Year</t>
  </si>
  <si>
    <t>YoY Change</t>
  </si>
  <si>
    <t>KEY PERFORMANCE INSIGHTS &amp; NARRATIVE</t>
  </si>
  <si>
    <t>Insight / Commentary</t>
  </si>
  <si>
    <t>Volume</t>
  </si>
  <si>
    <t>On Track</t>
  </si>
  <si>
    <t>Units sold +8.2% YoY driven by SMB channel expansion. New customer additions ahead of plan at 220 vs 200 target.</t>
  </si>
  <si>
    <t>Price</t>
  </si>
  <si>
    <t>Average selling price +12% from pricing initiative rollout. Enterprise tier increase yielding 8% uplift with minimal churn.</t>
  </si>
  <si>
    <t>Mix</t>
  </si>
  <si>
    <t>Product A share of revenue growing to 42% (vs 40% PY) — favorable given higher margins. Enterprise mix at 60%.</t>
  </si>
  <si>
    <t>COGS per unit down 6% YoY from operational efficiencies. S&amp;M efficiency improving — .67 revenue per  S&amp;M spend.</t>
  </si>
  <si>
    <t>Productivity</t>
  </si>
  <si>
    <t>Revenue per employee up 9% to  YTD. Quota attainment at 82% — 3 reps below threshold, coaching plans in place.</t>
  </si>
  <si>
    <t>Enter monthly actuals in yellow cells. Black = auto-calculated formula. Rows marked * derive from other KPI rows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</si>
</sst>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\(&quot;$&quot;#,##0\);&quot;-&quot;"/>
    <numFmt numFmtId="165" formatCode="0.0%;\(0.0%\);\-"/>
    <numFmt numFmtId="166" formatCode="#,##0;\(#,##0\);\-"/>
    <numFmt numFmtId="167" formatCode="&quot;$&quot;#,##0.00"/>
    <numFmt numFmtId="168" formatCode="#,##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i/>
      <sz val="9"/>
      <color rgb="FFFFFFFF"/>
      <name val="Arial"/>
      <family val="2"/>
    </font>
    <font>
      <b/>
      <sz val="10"/>
      <color rgb="FF2E75B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7" fillId="0" borderId="0" xfId="0" applyFont="1"/>
    <xf numFmtId="164" fontId="8" fillId="4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6" fillId="5" borderId="0" xfId="0" applyFont="1" applyFill="1" applyAlignment="1">
      <alignment horizontal="left" indent="1"/>
    </xf>
    <xf numFmtId="0" fontId="7" fillId="5" borderId="0" xfId="0" applyFont="1" applyFill="1"/>
    <xf numFmtId="165" fontId="8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3" fontId="8" fillId="4" borderId="0" xfId="0" applyNumberFormat="1" applyFont="1" applyFill="1" applyAlignment="1">
      <alignment horizontal="right"/>
    </xf>
    <xf numFmtId="3" fontId="8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4" fontId="8" fillId="5" borderId="0" xfId="0" applyNumberFormat="1" applyFont="1" applyFill="1" applyAlignment="1">
      <alignment horizontal="right"/>
    </xf>
    <xf numFmtId="164" fontId="10" fillId="5" borderId="0" xfId="0" applyNumberFormat="1" applyFont="1" applyFill="1" applyAlignment="1">
      <alignment horizontal="right"/>
    </xf>
    <xf numFmtId="165" fontId="10" fillId="5" borderId="0" xfId="0" applyNumberFormat="1" applyFont="1" applyFill="1" applyAlignment="1">
      <alignment horizontal="right"/>
    </xf>
    <xf numFmtId="166" fontId="10" fillId="0" borderId="0" xfId="0" applyNumberFormat="1" applyFont="1" applyAlignment="1">
      <alignment horizontal="right"/>
    </xf>
    <xf numFmtId="165" fontId="8" fillId="5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164" fontId="11" fillId="0" borderId="0" xfId="0" applyNumberFormat="1" applyFont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164" fontId="5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center"/>
    </xf>
    <xf numFmtId="164" fontId="13" fillId="2" borderId="0" xfId="0" applyNumberFormat="1" applyFont="1" applyFill="1"/>
    <xf numFmtId="0" fontId="11" fillId="0" borderId="0" xfId="0" applyFont="1"/>
    <xf numFmtId="0" fontId="6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1" fillId="5" borderId="0" xfId="0" applyFont="1" applyFill="1"/>
    <xf numFmtId="164" fontId="11" fillId="5" borderId="0" xfId="0" applyNumberFormat="1" applyFont="1" applyFill="1"/>
    <xf numFmtId="0" fontId="6" fillId="0" borderId="0" xfId="0" applyFont="1" applyAlignment="1">
      <alignment horizontal="center"/>
    </xf>
    <xf numFmtId="166" fontId="8" fillId="0" borderId="0" xfId="0" applyNumberFormat="1" applyFont="1" applyAlignment="1">
      <alignment horizontal="right"/>
    </xf>
    <xf numFmtId="166" fontId="8" fillId="4" borderId="0" xfId="0" applyNumberFormat="1" applyFont="1" applyFill="1" applyAlignment="1">
      <alignment horizontal="right"/>
    </xf>
    <xf numFmtId="0" fontId="8" fillId="4" borderId="0" xfId="0" applyFont="1" applyFill="1" applyAlignment="1">
      <alignment horizontal="left"/>
    </xf>
    <xf numFmtId="166" fontId="8" fillId="5" borderId="0" xfId="0" applyNumberFormat="1" applyFont="1" applyFill="1" applyAlignment="1">
      <alignment horizontal="right"/>
    </xf>
    <xf numFmtId="166" fontId="10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center"/>
    </xf>
    <xf numFmtId="167" fontId="8" fillId="0" borderId="0" xfId="0" applyNumberFormat="1" applyFont="1" applyAlignment="1">
      <alignment horizontal="right"/>
    </xf>
    <xf numFmtId="167" fontId="8" fillId="4" borderId="0" xfId="0" applyNumberFormat="1" applyFont="1" applyFill="1" applyAlignment="1">
      <alignment horizontal="right"/>
    </xf>
    <xf numFmtId="167" fontId="10" fillId="0" borderId="0" xfId="0" applyNumberFormat="1" applyFont="1" applyAlignment="1">
      <alignment horizontal="right"/>
    </xf>
    <xf numFmtId="168" fontId="8" fillId="5" borderId="0" xfId="0" applyNumberFormat="1" applyFont="1" applyFill="1" applyAlignment="1">
      <alignment horizontal="right"/>
    </xf>
    <xf numFmtId="168" fontId="10" fillId="5" borderId="0" xfId="0" applyNumberFormat="1" applyFont="1" applyFill="1" applyAlignment="1">
      <alignment horizontal="right"/>
    </xf>
    <xf numFmtId="0" fontId="14" fillId="0" borderId="0" xfId="0" applyFont="1"/>
    <xf numFmtId="0" fontId="8" fillId="4" borderId="0" xfId="0" applyFont="1" applyFill="1" applyAlignment="1">
      <alignment horizontal="left" wrapText="1"/>
    </xf>
    <xf numFmtId="0" fontId="14" fillId="5" borderId="0" xfId="0" applyFont="1" applyFill="1"/>
    <xf numFmtId="0" fontId="8" fillId="5" borderId="0" xfId="0" applyFont="1" applyFill="1" applyAlignment="1">
      <alignment horizontal="left"/>
    </xf>
    <xf numFmtId="0" fontId="8" fillId="5" borderId="0" xfId="0" applyFont="1" applyFill="1" applyAlignment="1">
      <alignment horizontal="left" wrapText="1"/>
    </xf>
    <xf numFmtId="168" fontId="9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26A3-82B5-479E-8A0B-696913B795B0}">
  <dimension ref="A1:Q21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3" sqref="E13"/>
    </sheetView>
  </sheetViews>
  <sheetFormatPr defaultRowHeight="15" x14ac:dyDescent="0.25"/>
  <cols>
    <col min="1" max="1" width="28.7109375" customWidth="1"/>
    <col min="2" max="4" width="12.7109375" customWidth="1"/>
    <col min="5" max="16" width="9.7109375" customWidth="1"/>
    <col min="17" max="17" width="13.7109375" customWidth="1"/>
  </cols>
  <sheetData>
    <row r="1" spans="1:17" ht="26.1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3" spans="1:17" x14ac:dyDescent="0.25">
      <c r="A3" s="1" t="s">
        <v>154</v>
      </c>
    </row>
    <row r="5" spans="1:17" ht="27.95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</row>
    <row r="6" spans="1:17" x14ac:dyDescent="0.25">
      <c r="A6" s="10" t="s">
        <v>18</v>
      </c>
      <c r="B6" s="11" t="s">
        <v>19</v>
      </c>
      <c r="C6" s="7">
        <v>5400000</v>
      </c>
      <c r="D6" s="8">
        <v>4455000</v>
      </c>
      <c r="E6" s="7">
        <v>380000</v>
      </c>
      <c r="F6" s="7">
        <v>395000</v>
      </c>
      <c r="G6" s="7">
        <v>410000</v>
      </c>
      <c r="H6" s="7">
        <v>420000</v>
      </c>
      <c r="I6" s="7">
        <v>430000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9">
        <f>SUMIF(E6:P6,"&lt;&gt;0")</f>
        <v>2035000</v>
      </c>
    </row>
    <row r="7" spans="1:17" x14ac:dyDescent="0.25">
      <c r="A7" s="5" t="s">
        <v>20</v>
      </c>
      <c r="B7" s="6" t="s">
        <v>19</v>
      </c>
      <c r="C7" s="12">
        <v>0.21</v>
      </c>
      <c r="D7" s="13">
        <v>0.15</v>
      </c>
      <c r="E7" s="19">
        <f>IF(AND(D6&lt;&gt;0,E6&lt;&gt;0),(E6/(D6/12))-1,0)</f>
        <v>2.3569023569023573E-2</v>
      </c>
      <c r="F7" s="19">
        <f>IF(AND(D6&lt;&gt;0,F6&lt;&gt;0),(F6/(D6/12))-1,0)</f>
        <v>6.3973063973064015E-2</v>
      </c>
      <c r="G7" s="19">
        <f>IF(AND(D6&lt;&gt;0,G6&lt;&gt;0),(G6/(D6/12))-1,0)</f>
        <v>0.10437710437710446</v>
      </c>
      <c r="H7" s="19">
        <f>IF(AND(D6&lt;&gt;0,H6&lt;&gt;0),(H6/(D6/12))-1,0)</f>
        <v>0.13131313131313127</v>
      </c>
      <c r="I7" s="19">
        <f>IF(AND(D6&lt;&gt;0,I6&lt;&gt;0),(I6/(D6/12))-1,0)</f>
        <v>0.15824915824915831</v>
      </c>
      <c r="J7" s="19">
        <f>IF(AND(D6&lt;&gt;0,J6&lt;&gt;0),(J6/(D6/12))-1,0)</f>
        <v>0</v>
      </c>
      <c r="K7" s="19">
        <f>IF(AND(D6&lt;&gt;0,K6&lt;&gt;0),(K6/(D6/12))-1,0)</f>
        <v>0</v>
      </c>
      <c r="L7" s="19">
        <f>IF(AND(D6&lt;&gt;0,L6&lt;&gt;0),(L6/(D6/12))-1,0)</f>
        <v>0</v>
      </c>
      <c r="M7" s="19">
        <f>IF(AND(D6&lt;&gt;0,M6&lt;&gt;0),(M6/(D6/12))-1,0)</f>
        <v>0</v>
      </c>
      <c r="N7" s="19">
        <f>IF(AND(D6&lt;&gt;0,N6&lt;&gt;0),(N6/(D6/12))-1,0)</f>
        <v>0</v>
      </c>
      <c r="O7" s="19">
        <f>IF(AND(D6&lt;&gt;0,O6&lt;&gt;0),(O6/(D6/12))-1,0)</f>
        <v>0</v>
      </c>
      <c r="P7" s="19">
        <f>IF(AND(D6&lt;&gt;0,P6&lt;&gt;0),(P6/(D6/12))-1,0)</f>
        <v>0</v>
      </c>
      <c r="Q7" s="14">
        <f>IF(AND(D6&lt;&gt;0,Q6&lt;&gt;0),(Q6/(D6/12*COUNTIF(E6:P6,"&gt;0")))-1,0)</f>
        <v>9.6296296296296324E-2</v>
      </c>
    </row>
    <row r="8" spans="1:17" x14ac:dyDescent="0.25">
      <c r="A8" s="10" t="s">
        <v>21</v>
      </c>
      <c r="B8" s="11" t="s">
        <v>19</v>
      </c>
      <c r="C8" s="7">
        <v>1800000</v>
      </c>
      <c r="D8" s="8">
        <v>1450000</v>
      </c>
      <c r="E8" s="7">
        <v>130000</v>
      </c>
      <c r="F8" s="7">
        <v>145000</v>
      </c>
      <c r="G8" s="7">
        <v>155000</v>
      </c>
      <c r="H8" s="7">
        <v>160000</v>
      </c>
      <c r="I8" s="7">
        <v>165000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9">
        <f>SUMIF(E8:P8,"&lt;&gt;0")</f>
        <v>755000</v>
      </c>
    </row>
    <row r="9" spans="1:17" x14ac:dyDescent="0.25">
      <c r="A9" s="5" t="s">
        <v>22</v>
      </c>
      <c r="B9" s="6" t="s">
        <v>19</v>
      </c>
      <c r="C9" s="7">
        <v>36000</v>
      </c>
      <c r="D9" s="8">
        <v>32000</v>
      </c>
      <c r="E9" s="18">
        <f t="shared" ref="E9:Q9" si="0">IF(AND(E17&lt;&gt;0,E6&lt;&gt;0),E6*12/E17,0)</f>
        <v>32571.428571428572</v>
      </c>
      <c r="F9" s="18">
        <f t="shared" si="0"/>
        <v>33380.281690140844</v>
      </c>
      <c r="G9" s="18">
        <f t="shared" si="0"/>
        <v>33931.034482758623</v>
      </c>
      <c r="H9" s="18">
        <f t="shared" si="0"/>
        <v>34285.714285714283</v>
      </c>
      <c r="I9" s="18">
        <f t="shared" si="0"/>
        <v>34630.872483221479</v>
      </c>
      <c r="J9" s="18">
        <f t="shared" si="0"/>
        <v>0</v>
      </c>
      <c r="K9" s="18">
        <f t="shared" si="0"/>
        <v>0</v>
      </c>
      <c r="L9" s="18">
        <f t="shared" si="0"/>
        <v>0</v>
      </c>
      <c r="M9" s="18">
        <f t="shared" si="0"/>
        <v>0</v>
      </c>
      <c r="N9" s="18">
        <f t="shared" si="0"/>
        <v>0</v>
      </c>
      <c r="O9" s="18">
        <f t="shared" si="0"/>
        <v>0</v>
      </c>
      <c r="P9" s="18">
        <f t="shared" si="0"/>
        <v>0</v>
      </c>
      <c r="Q9" s="9">
        <f t="shared" si="0"/>
        <v>168879.66804979253</v>
      </c>
    </row>
    <row r="10" spans="1:17" x14ac:dyDescent="0.25">
      <c r="A10" s="10" t="s">
        <v>23</v>
      </c>
      <c r="B10" s="11" t="s">
        <v>24</v>
      </c>
      <c r="C10" s="12">
        <v>0.62</v>
      </c>
      <c r="D10" s="13">
        <v>0.6</v>
      </c>
      <c r="E10" s="12">
        <v>0.61</v>
      </c>
      <c r="F10" s="12">
        <v>0.61499999999999999</v>
      </c>
      <c r="G10" s="12">
        <v>0.62</v>
      </c>
      <c r="H10" s="12">
        <v>0.62</v>
      </c>
      <c r="I10" s="12">
        <v>0.625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f>IFERROR(AVERAGEIF(E10:P10,"&lt;&gt;0"),0)</f>
        <v>0.6180000000000001</v>
      </c>
    </row>
    <row r="11" spans="1:17" x14ac:dyDescent="0.25">
      <c r="A11" s="5" t="s">
        <v>25</v>
      </c>
      <c r="B11" s="6" t="s">
        <v>24</v>
      </c>
      <c r="C11" s="7">
        <v>1188000</v>
      </c>
      <c r="D11" s="8">
        <v>936000</v>
      </c>
      <c r="E11" s="7">
        <v>82000</v>
      </c>
      <c r="F11" s="7">
        <v>88000</v>
      </c>
      <c r="G11" s="7">
        <v>93000</v>
      </c>
      <c r="H11" s="7">
        <v>96000</v>
      </c>
      <c r="I11" s="7">
        <v>99000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9">
        <f>SUMIF(E11:P11,"&lt;&gt;0")</f>
        <v>458000</v>
      </c>
    </row>
    <row r="12" spans="1:17" x14ac:dyDescent="0.25">
      <c r="A12" s="10" t="s">
        <v>26</v>
      </c>
      <c r="B12" s="11" t="s">
        <v>24</v>
      </c>
      <c r="C12" s="12">
        <v>0.22</v>
      </c>
      <c r="D12" s="13">
        <v>0.21</v>
      </c>
      <c r="E12" s="22">
        <f t="shared" ref="E12:Q12" si="1">IF(AND(E6&lt;&gt;0,E11&lt;&gt;0),E11/E6,0)</f>
        <v>0.21578947368421053</v>
      </c>
      <c r="F12" s="22">
        <f t="shared" si="1"/>
        <v>0.22278481012658227</v>
      </c>
      <c r="G12" s="22">
        <f t="shared" si="1"/>
        <v>0.22682926829268293</v>
      </c>
      <c r="H12" s="22">
        <f t="shared" si="1"/>
        <v>0.22857142857142856</v>
      </c>
      <c r="I12" s="22">
        <f t="shared" si="1"/>
        <v>0.23023255813953489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1"/>
        <v>0</v>
      </c>
      <c r="Q12" s="14">
        <f t="shared" si="1"/>
        <v>0.22506142506142507</v>
      </c>
    </row>
    <row r="13" spans="1:17" x14ac:dyDescent="0.25">
      <c r="A13" s="5" t="s">
        <v>27</v>
      </c>
      <c r="B13" s="6" t="s">
        <v>24</v>
      </c>
      <c r="C13" s="12">
        <v>0.12</v>
      </c>
      <c r="D13" s="13">
        <v>0.1</v>
      </c>
      <c r="E13" s="12">
        <v>0.11</v>
      </c>
      <c r="F13" s="12">
        <v>0.115</v>
      </c>
      <c r="G13" s="12">
        <v>0.12</v>
      </c>
      <c r="H13" s="12">
        <v>0.12</v>
      </c>
      <c r="I13" s="12">
        <v>0.122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4">
        <f t="shared" ref="Q13:Q19" si="2">IFERROR(AVERAGEIF(E13:P13,"&lt;&gt;0"),0)</f>
        <v>0.11739999999999999</v>
      </c>
    </row>
    <row r="14" spans="1:17" x14ac:dyDescent="0.25">
      <c r="A14" s="10" t="s">
        <v>28</v>
      </c>
      <c r="B14" s="11" t="s">
        <v>29</v>
      </c>
      <c r="C14" s="12">
        <v>0.4</v>
      </c>
      <c r="D14" s="13">
        <v>0.39</v>
      </c>
      <c r="E14" s="12">
        <v>0.41</v>
      </c>
      <c r="F14" s="12">
        <v>0.40500000000000003</v>
      </c>
      <c r="G14" s="12">
        <v>0.4</v>
      </c>
      <c r="H14" s="12">
        <v>0.39800000000000002</v>
      </c>
      <c r="I14" s="12">
        <v>0.39500000000000002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4">
        <f t="shared" si="2"/>
        <v>0.40160000000000001</v>
      </c>
    </row>
    <row r="15" spans="1:17" x14ac:dyDescent="0.25">
      <c r="A15" s="5" t="s">
        <v>30</v>
      </c>
      <c r="B15" s="6" t="s">
        <v>29</v>
      </c>
      <c r="C15" s="12">
        <v>0.15</v>
      </c>
      <c r="D15" s="13">
        <v>0.16</v>
      </c>
      <c r="E15" s="12">
        <v>0.16</v>
      </c>
      <c r="F15" s="12">
        <v>0.158</v>
      </c>
      <c r="G15" s="12">
        <v>0.155</v>
      </c>
      <c r="H15" s="12">
        <v>0.152</v>
      </c>
      <c r="I15" s="12">
        <v>0.15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4">
        <f t="shared" si="2"/>
        <v>0.155</v>
      </c>
    </row>
    <row r="16" spans="1:17" x14ac:dyDescent="0.25">
      <c r="A16" s="10" t="s">
        <v>31</v>
      </c>
      <c r="B16" s="11" t="s">
        <v>29</v>
      </c>
      <c r="C16" s="12">
        <v>7.0000000000000007E-2</v>
      </c>
      <c r="D16" s="13">
        <v>0.08</v>
      </c>
      <c r="E16" s="12">
        <v>7.4999999999999997E-2</v>
      </c>
      <c r="F16" s="12">
        <v>7.1999999999999995E-2</v>
      </c>
      <c r="G16" s="12">
        <v>7.0000000000000007E-2</v>
      </c>
      <c r="H16" s="12">
        <v>7.0000000000000007E-2</v>
      </c>
      <c r="I16" s="12">
        <v>6.8000000000000005E-2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4">
        <f t="shared" si="2"/>
        <v>7.1000000000000008E-2</v>
      </c>
    </row>
    <row r="17" spans="1:17" x14ac:dyDescent="0.25">
      <c r="A17" s="5" t="s">
        <v>32</v>
      </c>
      <c r="B17" s="6" t="s">
        <v>33</v>
      </c>
      <c r="C17" s="15">
        <v>151</v>
      </c>
      <c r="D17" s="16">
        <v>135</v>
      </c>
      <c r="E17" s="15">
        <v>140</v>
      </c>
      <c r="F17" s="15">
        <v>142</v>
      </c>
      <c r="G17" s="15">
        <v>145</v>
      </c>
      <c r="H17" s="15">
        <v>147</v>
      </c>
      <c r="I17" s="15">
        <v>149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7">
        <f t="shared" si="2"/>
        <v>144.6</v>
      </c>
    </row>
    <row r="18" spans="1:17" x14ac:dyDescent="0.25">
      <c r="A18" s="10" t="s">
        <v>34</v>
      </c>
      <c r="B18" s="11" t="s">
        <v>33</v>
      </c>
      <c r="C18" s="15">
        <v>36</v>
      </c>
      <c r="D18" s="16">
        <v>33</v>
      </c>
      <c r="E18" s="48">
        <f t="shared" ref="E18:Q18" si="3">IF(AND(E17&lt;&gt;0,E6&lt;&gt;0),E6*12/E17/1000,0)</f>
        <v>32.571428571428569</v>
      </c>
      <c r="F18" s="48">
        <f t="shared" si="3"/>
        <v>33.380281690140848</v>
      </c>
      <c r="G18" s="48">
        <f t="shared" si="3"/>
        <v>33.931034482758626</v>
      </c>
      <c r="H18" s="48">
        <f t="shared" si="3"/>
        <v>34.285714285714285</v>
      </c>
      <c r="I18" s="48">
        <f t="shared" si="3"/>
        <v>34.630872483221481</v>
      </c>
      <c r="J18" s="48">
        <f t="shared" si="3"/>
        <v>0</v>
      </c>
      <c r="K18" s="48">
        <f t="shared" si="3"/>
        <v>0</v>
      </c>
      <c r="L18" s="48">
        <f t="shared" si="3"/>
        <v>0</v>
      </c>
      <c r="M18" s="48">
        <f t="shared" si="3"/>
        <v>0</v>
      </c>
      <c r="N18" s="48">
        <f t="shared" si="3"/>
        <v>0</v>
      </c>
      <c r="O18" s="48">
        <f t="shared" si="3"/>
        <v>0</v>
      </c>
      <c r="P18" s="48">
        <f t="shared" si="3"/>
        <v>0</v>
      </c>
      <c r="Q18" s="54">
        <f t="shared" si="3"/>
        <v>168.87966804979251</v>
      </c>
    </row>
    <row r="19" spans="1:17" x14ac:dyDescent="0.25">
      <c r="A19" s="5" t="s">
        <v>35</v>
      </c>
      <c r="B19" s="6" t="s">
        <v>36</v>
      </c>
      <c r="C19" s="15">
        <v>850</v>
      </c>
      <c r="D19" s="16">
        <v>720</v>
      </c>
      <c r="E19" s="15">
        <v>740</v>
      </c>
      <c r="F19" s="15">
        <v>755</v>
      </c>
      <c r="G19" s="15">
        <v>768</v>
      </c>
      <c r="H19" s="15">
        <v>780</v>
      </c>
      <c r="I19" s="15">
        <v>792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7">
        <f t="shared" si="2"/>
        <v>767</v>
      </c>
    </row>
    <row r="20" spans="1:17" x14ac:dyDescent="0.25">
      <c r="A20" s="10" t="s">
        <v>37</v>
      </c>
      <c r="B20" s="11" t="s">
        <v>36</v>
      </c>
      <c r="C20" s="7">
        <v>6353</v>
      </c>
      <c r="D20" s="8">
        <v>6188</v>
      </c>
      <c r="E20" s="21">
        <f t="shared" ref="E20:Q20" si="4">IF(AND(E19&lt;&gt;0,E6&lt;&gt;0),E6*12/E19,0)</f>
        <v>6162.1621621621625</v>
      </c>
      <c r="F20" s="21">
        <f t="shared" si="4"/>
        <v>6278.1456953642382</v>
      </c>
      <c r="G20" s="21">
        <f t="shared" si="4"/>
        <v>6406.25</v>
      </c>
      <c r="H20" s="21">
        <f t="shared" si="4"/>
        <v>6461.5384615384619</v>
      </c>
      <c r="I20" s="21">
        <f t="shared" si="4"/>
        <v>6515.151515151515</v>
      </c>
      <c r="J20" s="21">
        <f t="shared" si="4"/>
        <v>0</v>
      </c>
      <c r="K20" s="21">
        <f t="shared" si="4"/>
        <v>0</v>
      </c>
      <c r="L20" s="21">
        <f t="shared" si="4"/>
        <v>0</v>
      </c>
      <c r="M20" s="21">
        <f t="shared" si="4"/>
        <v>0</v>
      </c>
      <c r="N20" s="21">
        <f t="shared" si="4"/>
        <v>0</v>
      </c>
      <c r="O20" s="21">
        <f t="shared" si="4"/>
        <v>0</v>
      </c>
      <c r="P20" s="21">
        <f t="shared" si="4"/>
        <v>0</v>
      </c>
      <c r="Q20" s="9">
        <f t="shared" si="4"/>
        <v>31838.331160365058</v>
      </c>
    </row>
    <row r="21" spans="1:17" x14ac:dyDescent="0.25">
      <c r="A21" s="5" t="s">
        <v>38</v>
      </c>
      <c r="B21" s="6" t="s">
        <v>36</v>
      </c>
      <c r="C21" s="12">
        <v>0.05</v>
      </c>
      <c r="D21" s="13">
        <v>0.06</v>
      </c>
      <c r="E21" s="12">
        <v>5.8000000000000003E-2</v>
      </c>
      <c r="F21" s="12">
        <v>5.6000000000000001E-2</v>
      </c>
      <c r="G21" s="12">
        <v>5.3999999999999999E-2</v>
      </c>
      <c r="H21" s="12">
        <v>5.1999999999999998E-2</v>
      </c>
      <c r="I21" s="12">
        <v>0.05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4">
        <f>IFERROR(AVERAGEIF(E21:P21,"&lt;&gt;0"),0)</f>
        <v>5.4000000000000006E-2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EF9C-B2F8-4E34-95FD-0956424BFA2E}">
  <dimension ref="A1:I28"/>
  <sheetViews>
    <sheetView workbookViewId="0">
      <pane xSplit="2" ySplit="18" topLeftCell="C19" activePane="bottomRight" state="frozen"/>
      <selection pane="topRight" activeCell="C1" sqref="C1"/>
      <selection pane="bottomLeft" activeCell="A19" sqref="A19"/>
      <selection pane="bottomRight" activeCell="C19" sqref="C19"/>
    </sheetView>
  </sheetViews>
  <sheetFormatPr defaultRowHeight="15" x14ac:dyDescent="0.25"/>
  <cols>
    <col min="1" max="1" width="28.7109375" customWidth="1"/>
    <col min="2" max="2" width="40.7109375" customWidth="1"/>
    <col min="3" max="3" width="16.7109375" customWidth="1"/>
    <col min="4" max="4" width="12.7109375" customWidth="1"/>
    <col min="5" max="5" width="35.7109375" customWidth="1"/>
  </cols>
  <sheetData>
    <row r="1" spans="1:9" ht="26.1" customHeight="1" x14ac:dyDescent="0.25">
      <c r="A1" s="55" t="s">
        <v>39</v>
      </c>
      <c r="B1" s="56"/>
      <c r="C1" s="56"/>
      <c r="D1" s="56"/>
      <c r="E1" s="56"/>
      <c r="F1" s="56"/>
      <c r="G1" s="56"/>
      <c r="H1" s="56"/>
      <c r="I1" s="56"/>
    </row>
    <row r="3" spans="1:9" x14ac:dyDescent="0.25">
      <c r="A3" s="1" t="s">
        <v>40</v>
      </c>
    </row>
    <row r="5" spans="1:9" x14ac:dyDescent="0.25">
      <c r="A5" s="57" t="s">
        <v>41</v>
      </c>
      <c r="B5" s="58"/>
      <c r="C5" s="58"/>
      <c r="D5" s="58"/>
      <c r="E5" s="58"/>
      <c r="F5" s="58"/>
      <c r="G5" s="58"/>
      <c r="H5" s="58"/>
      <c r="I5" s="58"/>
    </row>
    <row r="6" spans="1:9" ht="27.95" customHeight="1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</row>
    <row r="7" spans="1:9" x14ac:dyDescent="0.25">
      <c r="A7" s="5" t="s">
        <v>47</v>
      </c>
      <c r="B7" s="7">
        <v>4455000</v>
      </c>
      <c r="C7" s="7">
        <v>5400000</v>
      </c>
      <c r="D7" s="18">
        <f t="shared" ref="D7:D14" si="0">C7-B7</f>
        <v>945000</v>
      </c>
      <c r="E7" s="19">
        <f t="shared" ref="E7:E14" si="1">IF(B7&lt;&gt;0,(C7-B7)/ABS(B7),0)</f>
        <v>0.21212121212121213</v>
      </c>
    </row>
    <row r="8" spans="1:9" x14ac:dyDescent="0.25">
      <c r="A8" s="10" t="s">
        <v>48</v>
      </c>
      <c r="B8" s="20">
        <v>18475</v>
      </c>
      <c r="C8" s="20">
        <v>20000</v>
      </c>
      <c r="D8" s="21">
        <f t="shared" si="0"/>
        <v>1525</v>
      </c>
      <c r="E8" s="22">
        <f t="shared" si="1"/>
        <v>8.2543978349120431E-2</v>
      </c>
    </row>
    <row r="9" spans="1:9" x14ac:dyDescent="0.25">
      <c r="A9" s="5" t="s">
        <v>49</v>
      </c>
      <c r="B9" s="15">
        <v>241</v>
      </c>
      <c r="C9" s="15">
        <v>270</v>
      </c>
      <c r="D9" s="23">
        <f t="shared" si="0"/>
        <v>29</v>
      </c>
      <c r="E9" s="19">
        <f t="shared" si="1"/>
        <v>0.12033195020746888</v>
      </c>
    </row>
    <row r="10" spans="1:9" x14ac:dyDescent="0.25">
      <c r="A10" s="10" t="s">
        <v>23</v>
      </c>
      <c r="B10" s="24">
        <v>0.6</v>
      </c>
      <c r="C10" s="24">
        <v>0.62</v>
      </c>
      <c r="D10" s="22">
        <f t="shared" si="0"/>
        <v>2.0000000000000018E-2</v>
      </c>
      <c r="E10" s="22">
        <f t="shared" si="1"/>
        <v>3.3333333333333368E-2</v>
      </c>
    </row>
    <row r="11" spans="1:9" x14ac:dyDescent="0.25">
      <c r="A11" s="5" t="s">
        <v>50</v>
      </c>
      <c r="B11" s="7">
        <v>1737450</v>
      </c>
      <c r="C11" s="7">
        <v>2160000</v>
      </c>
      <c r="D11" s="18">
        <f t="shared" si="0"/>
        <v>422550</v>
      </c>
      <c r="E11" s="19">
        <f t="shared" si="1"/>
        <v>0.2432012432012432</v>
      </c>
    </row>
    <row r="12" spans="1:9" x14ac:dyDescent="0.25">
      <c r="A12" s="10" t="s">
        <v>51</v>
      </c>
      <c r="B12" s="24">
        <v>0.39</v>
      </c>
      <c r="C12" s="24">
        <v>0.4</v>
      </c>
      <c r="D12" s="22">
        <f t="shared" si="0"/>
        <v>1.0000000000000009E-2</v>
      </c>
      <c r="E12" s="22">
        <f t="shared" si="1"/>
        <v>2.5641025641025664E-2</v>
      </c>
    </row>
    <row r="13" spans="1:9" x14ac:dyDescent="0.25">
      <c r="A13" s="5" t="s">
        <v>52</v>
      </c>
      <c r="B13" s="7">
        <v>936000</v>
      </c>
      <c r="C13" s="7">
        <v>1188000</v>
      </c>
      <c r="D13" s="18">
        <f t="shared" si="0"/>
        <v>252000</v>
      </c>
      <c r="E13" s="19">
        <f t="shared" si="1"/>
        <v>0.26923076923076922</v>
      </c>
    </row>
    <row r="14" spans="1:9" x14ac:dyDescent="0.25">
      <c r="A14" s="10" t="s">
        <v>26</v>
      </c>
      <c r="B14" s="24">
        <v>0.21</v>
      </c>
      <c r="C14" s="24">
        <v>0.22</v>
      </c>
      <c r="D14" s="22">
        <f t="shared" si="0"/>
        <v>1.0000000000000009E-2</v>
      </c>
      <c r="E14" s="22">
        <f t="shared" si="1"/>
        <v>4.7619047619047665E-2</v>
      </c>
    </row>
    <row r="17" spans="1:9" x14ac:dyDescent="0.25">
      <c r="A17" s="57" t="s">
        <v>53</v>
      </c>
      <c r="B17" s="58"/>
      <c r="C17" s="58"/>
      <c r="D17" s="58"/>
      <c r="E17" s="58"/>
      <c r="F17" s="58"/>
      <c r="G17" s="58"/>
      <c r="H17" s="58"/>
      <c r="I17" s="58"/>
    </row>
    <row r="18" spans="1:9" ht="27.95" customHeight="1" x14ac:dyDescent="0.25">
      <c r="A18" s="3" t="s">
        <v>54</v>
      </c>
      <c r="B18" s="3" t="s">
        <v>55</v>
      </c>
      <c r="C18" s="3" t="s">
        <v>56</v>
      </c>
      <c r="D18" s="3" t="s">
        <v>57</v>
      </c>
      <c r="E18" s="3" t="s">
        <v>58</v>
      </c>
    </row>
    <row r="19" spans="1:9" x14ac:dyDescent="0.25">
      <c r="A19" s="27" t="s">
        <v>59</v>
      </c>
      <c r="B19" s="28" t="s">
        <v>60</v>
      </c>
      <c r="C19" s="29">
        <f>B13</f>
        <v>936000</v>
      </c>
      <c r="D19" s="30" t="s">
        <v>61</v>
      </c>
      <c r="E19" s="31">
        <f>B13</f>
        <v>936000</v>
      </c>
    </row>
    <row r="20" spans="1:9" x14ac:dyDescent="0.25">
      <c r="A20" s="33" t="s">
        <v>62</v>
      </c>
      <c r="B20" s="11" t="s">
        <v>63</v>
      </c>
      <c r="C20" s="21">
        <f>(C8-B8)*B9*B10</f>
        <v>220515</v>
      </c>
      <c r="D20" s="34" t="s">
        <v>64</v>
      </c>
      <c r="E20" s="35">
        <f>(C8-B8)*B9*B10</f>
        <v>220515</v>
      </c>
    </row>
    <row r="21" spans="1:9" x14ac:dyDescent="0.25">
      <c r="A21" s="4" t="s">
        <v>65</v>
      </c>
      <c r="B21" s="6" t="s">
        <v>66</v>
      </c>
      <c r="C21" s="18">
        <f>(C9-B9)*B8*B10</f>
        <v>321465</v>
      </c>
      <c r="D21" s="25" t="s">
        <v>64</v>
      </c>
      <c r="E21" s="32">
        <f>(C9-B9)*B8*B10</f>
        <v>321465</v>
      </c>
    </row>
    <row r="22" spans="1:9" x14ac:dyDescent="0.25">
      <c r="A22" s="33" t="s">
        <v>67</v>
      </c>
      <c r="B22" s="11" t="s">
        <v>68</v>
      </c>
      <c r="C22" s="21">
        <f>(C10-B10)*C7</f>
        <v>108000.0000000001</v>
      </c>
      <c r="D22" s="34" t="s">
        <v>64</v>
      </c>
      <c r="E22" s="35">
        <f>(C10-B10)*C7</f>
        <v>108000.0000000001</v>
      </c>
    </row>
    <row r="23" spans="1:9" x14ac:dyDescent="0.25">
      <c r="A23" s="4" t="s">
        <v>69</v>
      </c>
      <c r="B23" s="6" t="s">
        <v>70</v>
      </c>
      <c r="C23" s="18">
        <f>C13-B13-C19-C20-C21</f>
        <v>-1225980</v>
      </c>
      <c r="D23" s="25" t="s">
        <v>71</v>
      </c>
      <c r="E23" s="26">
        <f>C13-B13-C19-C20-C21</f>
        <v>-1225980</v>
      </c>
    </row>
    <row r="24" spans="1:9" x14ac:dyDescent="0.25">
      <c r="A24" s="33" t="s">
        <v>72</v>
      </c>
      <c r="B24" s="11" t="s">
        <v>73</v>
      </c>
      <c r="C24" s="21">
        <f>-(C11-B11)</f>
        <v>-422550</v>
      </c>
      <c r="D24" s="34" t="s">
        <v>74</v>
      </c>
      <c r="E24" s="36">
        <f>-(C11-B11)</f>
        <v>-422550</v>
      </c>
    </row>
    <row r="25" spans="1:9" x14ac:dyDescent="0.25">
      <c r="A25" s="4" t="s">
        <v>75</v>
      </c>
      <c r="B25" s="6" t="s">
        <v>76</v>
      </c>
      <c r="C25" s="18">
        <f>(B12-C12)*C7</f>
        <v>-54000.000000000051</v>
      </c>
      <c r="D25" s="25" t="s">
        <v>64</v>
      </c>
      <c r="E25" s="32">
        <f>(B12-C12)*C7</f>
        <v>-54000.000000000051</v>
      </c>
    </row>
    <row r="26" spans="1:9" x14ac:dyDescent="0.25">
      <c r="A26" s="27"/>
      <c r="B26" s="28" t="s">
        <v>77</v>
      </c>
      <c r="C26" s="29">
        <f>C13</f>
        <v>1188000</v>
      </c>
      <c r="D26" s="30" t="s">
        <v>61</v>
      </c>
      <c r="E26" s="31">
        <f>C13</f>
        <v>1188000</v>
      </c>
    </row>
    <row r="28" spans="1:9" x14ac:dyDescent="0.25">
      <c r="A28" s="2" t="s">
        <v>78</v>
      </c>
      <c r="C28" s="9">
        <f>C26-SUM(C20:C25)-C19</f>
        <v>1304550</v>
      </c>
    </row>
  </sheetData>
  <mergeCells count="3">
    <mergeCell ref="A1:I1"/>
    <mergeCell ref="A5:I5"/>
    <mergeCell ref="A17:I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0B72-8528-45BD-90C7-4BE0A309D49F}">
  <dimension ref="A1:K34"/>
  <sheetViews>
    <sheetView workbookViewId="0">
      <pane ySplit="5" topLeftCell="A8" activePane="bottomLeft" state="frozen"/>
      <selection pane="bottomLeft" activeCell="E7" sqref="E7"/>
    </sheetView>
  </sheetViews>
  <sheetFormatPr defaultRowHeight="15" x14ac:dyDescent="0.25"/>
  <cols>
    <col min="1" max="1" width="24.7109375" customWidth="1"/>
    <col min="2" max="2" width="32.7109375" customWidth="1"/>
    <col min="3" max="9" width="13.7109375" customWidth="1"/>
    <col min="10" max="10" width="12.7109375" customWidth="1"/>
    <col min="11" max="11" width="30.7109375" customWidth="1"/>
  </cols>
  <sheetData>
    <row r="1" spans="1:11" ht="26.1" customHeight="1" x14ac:dyDescent="0.25">
      <c r="A1" s="55" t="s">
        <v>79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3" spans="1:11" x14ac:dyDescent="0.25">
      <c r="A3" s="1" t="s">
        <v>80</v>
      </c>
    </row>
    <row r="5" spans="1:11" ht="32.1" customHeight="1" x14ac:dyDescent="0.25">
      <c r="A5" s="3" t="s">
        <v>42</v>
      </c>
      <c r="B5" s="3" t="s">
        <v>55</v>
      </c>
      <c r="C5" s="3" t="s">
        <v>81</v>
      </c>
      <c r="D5" s="3" t="s">
        <v>82</v>
      </c>
      <c r="E5" s="3" t="s">
        <v>83</v>
      </c>
      <c r="F5" s="3" t="s">
        <v>84</v>
      </c>
      <c r="G5" s="3" t="s">
        <v>85</v>
      </c>
      <c r="H5" s="3" t="s">
        <v>86</v>
      </c>
      <c r="I5" s="3" t="s">
        <v>87</v>
      </c>
      <c r="J5" s="3" t="s">
        <v>88</v>
      </c>
      <c r="K5" s="3" t="s">
        <v>89</v>
      </c>
    </row>
    <row r="6" spans="1:11" ht="21.95" customHeight="1" x14ac:dyDescent="0.25">
      <c r="A6" s="57" t="s">
        <v>90</v>
      </c>
      <c r="B6" s="58"/>
      <c r="C6" s="58"/>
      <c r="D6" s="58"/>
      <c r="E6" s="58"/>
      <c r="F6" s="58"/>
      <c r="G6" s="58"/>
      <c r="H6" s="58"/>
      <c r="I6" s="58"/>
      <c r="J6" s="58"/>
      <c r="K6" s="58"/>
    </row>
    <row r="7" spans="1:11" x14ac:dyDescent="0.25">
      <c r="A7" s="5" t="s">
        <v>48</v>
      </c>
      <c r="B7" s="32" t="s">
        <v>91</v>
      </c>
      <c r="C7" s="38">
        <v>18475</v>
      </c>
      <c r="D7" s="39">
        <v>19398.75</v>
      </c>
      <c r="E7" s="39">
        <v>20000</v>
      </c>
      <c r="F7" s="23">
        <f>E7-D7</f>
        <v>601.25</v>
      </c>
      <c r="G7" s="19">
        <f>IF(D7&lt;&gt;0,(E7-D7)/ABS(D7),0)</f>
        <v>3.0994265094400411E-2</v>
      </c>
      <c r="H7" s="23">
        <f>E7-C7</f>
        <v>1525</v>
      </c>
      <c r="I7" s="19">
        <f>IF(C7&lt;&gt;0,(E7-C7)/ABS(C7),0)</f>
        <v>8.2543978349120431E-2</v>
      </c>
      <c r="J7" s="37" t="str">
        <f>IF(E7&gt;D7,"▲ Above","▼ Below")</f>
        <v>▲ Above</v>
      </c>
      <c r="K7" s="40"/>
    </row>
    <row r="8" spans="1:11" x14ac:dyDescent="0.25">
      <c r="A8" s="10" t="s">
        <v>92</v>
      </c>
      <c r="B8" s="35" t="s">
        <v>93</v>
      </c>
      <c r="C8" s="41">
        <v>180</v>
      </c>
      <c r="D8" s="41">
        <v>189</v>
      </c>
      <c r="E8" s="41">
        <v>220</v>
      </c>
      <c r="F8" s="42">
        <f>E8-D8</f>
        <v>31</v>
      </c>
      <c r="G8" s="22">
        <f>IF(D8&lt;&gt;0,(E8-D8)/ABS(D8),0)</f>
        <v>0.16402116402116401</v>
      </c>
      <c r="H8" s="42">
        <f>E8-C8</f>
        <v>40</v>
      </c>
      <c r="I8" s="22">
        <f>IF(C8&lt;&gt;0,(E8-C8)/ABS(C8),0)</f>
        <v>0.22222222222222221</v>
      </c>
      <c r="J8" s="43" t="str">
        <f>IF(E8&gt;D8,"▲ Above","▼ Below")</f>
        <v>▲ Above</v>
      </c>
      <c r="K8" s="40"/>
    </row>
    <row r="9" spans="1:11" x14ac:dyDescent="0.25">
      <c r="A9" s="5" t="s">
        <v>94</v>
      </c>
      <c r="B9" s="32" t="s">
        <v>95</v>
      </c>
      <c r="C9" s="8">
        <v>3600000</v>
      </c>
      <c r="D9" s="7">
        <v>3780000</v>
      </c>
      <c r="E9" s="7">
        <v>4200000</v>
      </c>
      <c r="F9" s="18">
        <f>E9-D9</f>
        <v>420000</v>
      </c>
      <c r="G9" s="19">
        <f>IF(D9&lt;&gt;0,(E9-D9)/ABS(D9),0)</f>
        <v>0.1111111111111111</v>
      </c>
      <c r="H9" s="18">
        <f>E9-C9</f>
        <v>600000</v>
      </c>
      <c r="I9" s="19">
        <f>IF(C9&lt;&gt;0,(E9-C9)/ABS(C9),0)</f>
        <v>0.16666666666666666</v>
      </c>
      <c r="J9" s="37" t="str">
        <f>IF(E9&gt;D9,"▲ Above","▼ Below")</f>
        <v>▲ Above</v>
      </c>
      <c r="K9" s="40"/>
    </row>
    <row r="10" spans="1:11" x14ac:dyDescent="0.25">
      <c r="A10" s="10" t="s">
        <v>96</v>
      </c>
      <c r="B10" s="35" t="s">
        <v>97</v>
      </c>
      <c r="C10" s="24">
        <v>0.28000000000000003</v>
      </c>
      <c r="D10" s="24">
        <v>0.29400000000000004</v>
      </c>
      <c r="E10" s="24">
        <v>0.31</v>
      </c>
      <c r="F10" s="22">
        <f>E10-D10</f>
        <v>1.5999999999999959E-2</v>
      </c>
      <c r="G10" s="22">
        <f>IF(D10&lt;&gt;0,(E10-D10)/ABS(D10),0)</f>
        <v>5.4421768707482845E-2</v>
      </c>
      <c r="H10" s="22">
        <f>E10-C10</f>
        <v>2.9999999999999971E-2</v>
      </c>
      <c r="I10" s="22">
        <f>IF(C10&lt;&gt;0,(E10-C10)/ABS(C10),0)</f>
        <v>0.10714285714285703</v>
      </c>
      <c r="J10" s="43" t="str">
        <f>IF(E10&gt;D10,"▲ Above","▼ Below")</f>
        <v>▲ Above</v>
      </c>
      <c r="K10" s="40"/>
    </row>
    <row r="12" spans="1:11" ht="21.95" customHeight="1" x14ac:dyDescent="0.25">
      <c r="A12" s="57" t="s">
        <v>98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1" x14ac:dyDescent="0.25">
      <c r="A13" s="5" t="s">
        <v>99</v>
      </c>
      <c r="B13" s="32" t="s">
        <v>100</v>
      </c>
      <c r="C13" s="44">
        <v>241</v>
      </c>
      <c r="D13" s="45">
        <v>253.05</v>
      </c>
      <c r="E13" s="45">
        <v>270</v>
      </c>
      <c r="F13" s="46">
        <f>E13-D13</f>
        <v>16.949999999999989</v>
      </c>
      <c r="G13" s="19">
        <f>IF(D13&lt;&gt;0,(E13-D13)/ABS(D13),0)</f>
        <v>6.6982809721398889E-2</v>
      </c>
      <c r="H13" s="46">
        <f>E13-C13</f>
        <v>29</v>
      </c>
      <c r="I13" s="19">
        <f>IF(C13&lt;&gt;0,(E13-C13)/ABS(C13),0)</f>
        <v>0.12033195020746888</v>
      </c>
      <c r="J13" s="37" t="str">
        <f>IF(E13&gt;D13,"▲ Above","▼ Below")</f>
        <v>▲ Above</v>
      </c>
      <c r="K13" s="40"/>
    </row>
    <row r="14" spans="1:11" x14ac:dyDescent="0.25">
      <c r="A14" s="10" t="s">
        <v>101</v>
      </c>
      <c r="B14" s="35" t="s">
        <v>102</v>
      </c>
      <c r="C14" s="24">
        <v>0.12</v>
      </c>
      <c r="D14" s="24">
        <v>0.126</v>
      </c>
      <c r="E14" s="24">
        <v>0.09</v>
      </c>
      <c r="F14" s="22">
        <f>E14-D14</f>
        <v>-3.6000000000000004E-2</v>
      </c>
      <c r="G14" s="22">
        <f>IF(D14&lt;&gt;0,(E14-D14)/ABS(D14),0)</f>
        <v>-0.28571428571428575</v>
      </c>
      <c r="H14" s="22">
        <f>E14-C14</f>
        <v>-0.03</v>
      </c>
      <c r="I14" s="22">
        <f>IF(C14&lt;&gt;0,(E14-C14)/ABS(C14),0)</f>
        <v>-0.25</v>
      </c>
      <c r="J14" s="43" t="str">
        <f>IF(E14&gt;D14,"▲ Above","▼ Below")</f>
        <v>▼ Below</v>
      </c>
      <c r="K14" s="40"/>
    </row>
    <row r="15" spans="1:11" x14ac:dyDescent="0.25">
      <c r="A15" s="5" t="s">
        <v>103</v>
      </c>
      <c r="B15" s="32" t="s">
        <v>104</v>
      </c>
      <c r="C15" s="13">
        <v>0.03</v>
      </c>
      <c r="D15" s="12">
        <v>3.15E-2</v>
      </c>
      <c r="E15" s="12">
        <v>0.08</v>
      </c>
      <c r="F15" s="19">
        <f>E15-D15</f>
        <v>4.8500000000000001E-2</v>
      </c>
      <c r="G15" s="19">
        <f>IF(D15&lt;&gt;0,(E15-D15)/ABS(D15),0)</f>
        <v>1.5396825396825398</v>
      </c>
      <c r="H15" s="19">
        <f>E15-C15</f>
        <v>0.05</v>
      </c>
      <c r="I15" s="19">
        <f>IF(C15&lt;&gt;0,(E15-C15)/ABS(C15),0)</f>
        <v>1.6666666666666667</v>
      </c>
      <c r="J15" s="37" t="str">
        <f>IF(E15&gt;D15,"▲ Above","▼ Below")</f>
        <v>▲ Above</v>
      </c>
      <c r="K15" s="40"/>
    </row>
    <row r="16" spans="1:11" x14ac:dyDescent="0.25">
      <c r="A16" s="10" t="s">
        <v>105</v>
      </c>
      <c r="B16" s="35" t="s">
        <v>106</v>
      </c>
      <c r="C16" s="24">
        <v>0.88</v>
      </c>
      <c r="D16" s="24">
        <v>0.92400000000000004</v>
      </c>
      <c r="E16" s="24">
        <v>0.91</v>
      </c>
      <c r="F16" s="22">
        <f>E16-D16</f>
        <v>-1.4000000000000012E-2</v>
      </c>
      <c r="G16" s="22">
        <f>IF(D16&lt;&gt;0,(E16-D16)/ABS(D16),0)</f>
        <v>-1.5151515151515164E-2</v>
      </c>
      <c r="H16" s="22">
        <f>E16-C16</f>
        <v>3.0000000000000027E-2</v>
      </c>
      <c r="I16" s="22">
        <f>IF(C16&lt;&gt;0,(E16-C16)/ABS(C16),0)</f>
        <v>3.4090909090909123E-2</v>
      </c>
      <c r="J16" s="43" t="str">
        <f>IF(E16&gt;D16,"▲ Above","▼ Below")</f>
        <v>▼ Below</v>
      </c>
      <c r="K16" s="40"/>
    </row>
    <row r="18" spans="1:11" ht="21.95" customHeight="1" x14ac:dyDescent="0.25">
      <c r="A18" s="57" t="s">
        <v>107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spans="1:11" x14ac:dyDescent="0.25">
      <c r="A19" s="5" t="s">
        <v>108</v>
      </c>
      <c r="B19" s="32" t="s">
        <v>109</v>
      </c>
      <c r="C19" s="13">
        <v>0.4</v>
      </c>
      <c r="D19" s="12">
        <v>0.42000000000000004</v>
      </c>
      <c r="E19" s="12">
        <v>0.42</v>
      </c>
      <c r="F19" s="19">
        <f>E19-D19</f>
        <v>0</v>
      </c>
      <c r="G19" s="19">
        <f>IF(D19&lt;&gt;0,(E19-D19)/ABS(D19),0)</f>
        <v>-1.3216940769347102E-16</v>
      </c>
      <c r="H19" s="19">
        <f>E19-C19</f>
        <v>1.9999999999999962E-2</v>
      </c>
      <c r="I19" s="19">
        <f>IF(C19&lt;&gt;0,(E19-C19)/ABS(C19),0)</f>
        <v>4.9999999999999906E-2</v>
      </c>
      <c r="J19" s="37" t="str">
        <f>IF(E19&gt;D19,"▲ Above","▼ Below")</f>
        <v>▼ Below</v>
      </c>
      <c r="K19" s="40"/>
    </row>
    <row r="20" spans="1:11" x14ac:dyDescent="0.25">
      <c r="A20" s="10" t="s">
        <v>110</v>
      </c>
      <c r="B20" s="35" t="s">
        <v>111</v>
      </c>
      <c r="C20" s="24">
        <v>0.28000000000000003</v>
      </c>
      <c r="D20" s="24">
        <v>0.29400000000000004</v>
      </c>
      <c r="E20" s="24">
        <v>0.27</v>
      </c>
      <c r="F20" s="22">
        <f>E20-D20</f>
        <v>-2.4000000000000021E-2</v>
      </c>
      <c r="G20" s="22">
        <f>IF(D20&lt;&gt;0,(E20-D20)/ABS(D20),0)</f>
        <v>-8.1632653061224553E-2</v>
      </c>
      <c r="H20" s="22">
        <f>E20-C20</f>
        <v>-1.0000000000000009E-2</v>
      </c>
      <c r="I20" s="22">
        <f>IF(C20&lt;&gt;0,(E20-C20)/ABS(C20),0)</f>
        <v>-3.571428571428574E-2</v>
      </c>
      <c r="J20" s="43" t="str">
        <f>IF(E20&gt;D20,"▲ Above","▼ Below")</f>
        <v>▼ Below</v>
      </c>
      <c r="K20" s="40"/>
    </row>
    <row r="21" spans="1:11" x14ac:dyDescent="0.25">
      <c r="A21" s="5" t="s">
        <v>112</v>
      </c>
      <c r="B21" s="32" t="s">
        <v>113</v>
      </c>
      <c r="C21" s="13">
        <v>0.55000000000000004</v>
      </c>
      <c r="D21" s="12">
        <v>0.57750000000000012</v>
      </c>
      <c r="E21" s="12">
        <v>0.6</v>
      </c>
      <c r="F21" s="19">
        <f>E21-D21</f>
        <v>2.2499999999999853E-2</v>
      </c>
      <c r="G21" s="19">
        <f>IF(D21&lt;&gt;0,(E21-D21)/ABS(D21),0)</f>
        <v>3.8961038961038696E-2</v>
      </c>
      <c r="H21" s="19">
        <f>E21-C21</f>
        <v>4.9999999999999933E-2</v>
      </c>
      <c r="I21" s="19">
        <f>IF(C21&lt;&gt;0,(E21-C21)/ABS(C21),0)</f>
        <v>9.0909090909090787E-2</v>
      </c>
      <c r="J21" s="37" t="str">
        <f>IF(E21&gt;D21,"▲ Above","▼ Below")</f>
        <v>▲ Above</v>
      </c>
      <c r="K21" s="40"/>
    </row>
    <row r="22" spans="1:11" x14ac:dyDescent="0.25">
      <c r="A22" s="10" t="s">
        <v>114</v>
      </c>
      <c r="B22" s="35" t="s">
        <v>115</v>
      </c>
      <c r="C22" s="24">
        <v>0.48</v>
      </c>
      <c r="D22" s="24">
        <v>0.504</v>
      </c>
      <c r="E22" s="24">
        <v>0.52</v>
      </c>
      <c r="F22" s="22">
        <f>E22-D22</f>
        <v>1.6000000000000014E-2</v>
      </c>
      <c r="G22" s="22">
        <f>IF(D22&lt;&gt;0,(E22-D22)/ABS(D22),0)</f>
        <v>3.1746031746031772E-2</v>
      </c>
      <c r="H22" s="22">
        <f>E22-C22</f>
        <v>4.0000000000000036E-2</v>
      </c>
      <c r="I22" s="22">
        <f>IF(C22&lt;&gt;0,(E22-C22)/ABS(C22),0)</f>
        <v>8.3333333333333412E-2</v>
      </c>
      <c r="J22" s="43" t="str">
        <f>IF(E22&gt;D22,"▲ Above","▼ Below")</f>
        <v>▲ Above</v>
      </c>
      <c r="K22" s="40"/>
    </row>
    <row r="24" spans="1:11" ht="21.95" customHeight="1" x14ac:dyDescent="0.25">
      <c r="A24" s="57" t="s">
        <v>116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</row>
    <row r="25" spans="1:11" x14ac:dyDescent="0.25">
      <c r="A25" s="5" t="s">
        <v>117</v>
      </c>
      <c r="B25" s="32" t="s">
        <v>118</v>
      </c>
      <c r="C25" s="44">
        <v>96</v>
      </c>
      <c r="D25" s="45">
        <v>100.80000000000001</v>
      </c>
      <c r="E25" s="45">
        <v>90</v>
      </c>
      <c r="F25" s="46">
        <f>E25-D25</f>
        <v>-10.800000000000011</v>
      </c>
      <c r="G25" s="19">
        <f>IF(D25&lt;&gt;0,(E25-D25)/ABS(D25),0)</f>
        <v>-0.10714285714285725</v>
      </c>
      <c r="H25" s="46">
        <f>E25-C25</f>
        <v>-6</v>
      </c>
      <c r="I25" s="19">
        <f>IF(C25&lt;&gt;0,(E25-C25)/ABS(C25),0)</f>
        <v>-6.25E-2</v>
      </c>
      <c r="J25" s="37" t="str">
        <f>IF(E25&gt;D25,"▲ Above","▼ Below")</f>
        <v>▼ Below</v>
      </c>
      <c r="K25" s="40"/>
    </row>
    <row r="26" spans="1:11" x14ac:dyDescent="0.25">
      <c r="A26" s="10" t="s">
        <v>119</v>
      </c>
      <c r="B26" s="35" t="s">
        <v>120</v>
      </c>
      <c r="C26" s="47">
        <v>6.25</v>
      </c>
      <c r="D26" s="47">
        <v>6.5625</v>
      </c>
      <c r="E26" s="47">
        <v>6.67</v>
      </c>
      <c r="F26" s="48">
        <f>E26-D26</f>
        <v>0.10749999999999993</v>
      </c>
      <c r="G26" s="22">
        <f>IF(D26&lt;&gt;0,(E26-D26)/ABS(D26),0)</f>
        <v>1.6380952380952371E-2</v>
      </c>
      <c r="H26" s="48">
        <f>E26-C26</f>
        <v>0.41999999999999993</v>
      </c>
      <c r="I26" s="22">
        <f>IF(C26&lt;&gt;0,(E26-C26)/ABS(C26),0)</f>
        <v>6.7199999999999982E-2</v>
      </c>
      <c r="J26" s="43" t="str">
        <f>IF(E26&gt;D26,"▲ Above","▼ Below")</f>
        <v>▲ Above</v>
      </c>
      <c r="K26" s="40"/>
    </row>
    <row r="27" spans="1:11" x14ac:dyDescent="0.25">
      <c r="A27" s="5" t="s">
        <v>121</v>
      </c>
      <c r="B27" s="32" t="s">
        <v>122</v>
      </c>
      <c r="C27" s="13">
        <v>0.08</v>
      </c>
      <c r="D27" s="12">
        <v>8.4000000000000005E-2</v>
      </c>
      <c r="E27" s="12">
        <v>7.0000000000000007E-2</v>
      </c>
      <c r="F27" s="19">
        <f>E27-D27</f>
        <v>-1.3999999999999999E-2</v>
      </c>
      <c r="G27" s="19">
        <f>IF(D27&lt;&gt;0,(E27-D27)/ABS(D27),0)</f>
        <v>-0.16666666666666663</v>
      </c>
      <c r="H27" s="19">
        <f>E27-C27</f>
        <v>-9.999999999999995E-3</v>
      </c>
      <c r="I27" s="19">
        <f>IF(C27&lt;&gt;0,(E27-C27)/ABS(C27),0)</f>
        <v>-0.12499999999999993</v>
      </c>
      <c r="J27" s="37" t="str">
        <f>IF(E27&gt;D27,"▲ Above","▼ Below")</f>
        <v>▼ Below</v>
      </c>
      <c r="K27" s="40"/>
    </row>
    <row r="28" spans="1:11" x14ac:dyDescent="0.25">
      <c r="A28" s="10" t="s">
        <v>123</v>
      </c>
      <c r="B28" s="35" t="s">
        <v>124</v>
      </c>
      <c r="C28" s="47">
        <v>11.1</v>
      </c>
      <c r="D28" s="47">
        <v>11.654999999999999</v>
      </c>
      <c r="E28" s="47">
        <v>12.5</v>
      </c>
      <c r="F28" s="48">
        <f>E28-D28</f>
        <v>0.84500000000000064</v>
      </c>
      <c r="G28" s="22">
        <f>IF(D28&lt;&gt;0,(E28-D28)/ABS(D28),0)</f>
        <v>7.2501072501072558E-2</v>
      </c>
      <c r="H28" s="48">
        <f>E28-C28</f>
        <v>1.4000000000000004</v>
      </c>
      <c r="I28" s="22">
        <f>IF(C28&lt;&gt;0,(E28-C28)/ABS(C28),0)</f>
        <v>0.12612612612612617</v>
      </c>
      <c r="J28" s="43" t="str">
        <f>IF(E28&gt;D28,"▲ Above","▼ Below")</f>
        <v>▲ Above</v>
      </c>
      <c r="K28" s="40"/>
    </row>
    <row r="30" spans="1:11" ht="21.95" customHeight="1" x14ac:dyDescent="0.25">
      <c r="A30" s="57" t="s">
        <v>125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</row>
    <row r="31" spans="1:11" x14ac:dyDescent="0.25">
      <c r="A31" s="5" t="s">
        <v>126</v>
      </c>
      <c r="B31" s="32" t="s">
        <v>127</v>
      </c>
      <c r="C31" s="8">
        <v>33000</v>
      </c>
      <c r="D31" s="7">
        <v>34650</v>
      </c>
      <c r="E31" s="7">
        <v>36000</v>
      </c>
      <c r="F31" s="18">
        <f>E31-D31</f>
        <v>1350</v>
      </c>
      <c r="G31" s="19">
        <f>IF(D31&lt;&gt;0,(E31-D31)/ABS(D31),0)</f>
        <v>3.896103896103896E-2</v>
      </c>
      <c r="H31" s="18">
        <f>E31-C31</f>
        <v>3000</v>
      </c>
      <c r="I31" s="19">
        <f>IF(C31&lt;&gt;0,(E31-C31)/ABS(C31),0)</f>
        <v>9.0909090909090912E-2</v>
      </c>
      <c r="J31" s="37" t="str">
        <f>IF(E31&gt;D31,"▲ Above","▼ Below")</f>
        <v>▲ Above</v>
      </c>
      <c r="K31" s="40"/>
    </row>
    <row r="32" spans="1:11" x14ac:dyDescent="0.25">
      <c r="A32" s="10" t="s">
        <v>128</v>
      </c>
      <c r="B32" s="35" t="s">
        <v>129</v>
      </c>
      <c r="C32" s="24">
        <v>0.78</v>
      </c>
      <c r="D32" s="24">
        <v>0.81900000000000006</v>
      </c>
      <c r="E32" s="24">
        <v>0.82</v>
      </c>
      <c r="F32" s="22">
        <f>E32-D32</f>
        <v>9.9999999999988987E-4</v>
      </c>
      <c r="G32" s="22">
        <f>IF(D32&lt;&gt;0,(E32-D32)/ABS(D32),0)</f>
        <v>1.2210012210010863E-3</v>
      </c>
      <c r="H32" s="22">
        <f>E32-C32</f>
        <v>3.9999999999999925E-2</v>
      </c>
      <c r="I32" s="22">
        <f>IF(C32&lt;&gt;0,(E32-C32)/ABS(C32),0)</f>
        <v>5.1282051282051183E-2</v>
      </c>
      <c r="J32" s="43" t="str">
        <f>IF(E32&gt;D32,"▲ Above","▼ Below")</f>
        <v>▲ Above</v>
      </c>
      <c r="K32" s="40"/>
    </row>
    <row r="33" spans="1:11" x14ac:dyDescent="0.25">
      <c r="A33" s="5" t="s">
        <v>130</v>
      </c>
      <c r="B33" s="32" t="s">
        <v>131</v>
      </c>
      <c r="C33" s="38">
        <v>45</v>
      </c>
      <c r="D33" s="39">
        <v>47.25</v>
      </c>
      <c r="E33" s="39">
        <v>40</v>
      </c>
      <c r="F33" s="23">
        <f>E33-D33</f>
        <v>-7.25</v>
      </c>
      <c r="G33" s="19">
        <f>IF(D33&lt;&gt;0,(E33-D33)/ABS(D33),0)</f>
        <v>-0.15343915343915343</v>
      </c>
      <c r="H33" s="23">
        <f>E33-C33</f>
        <v>-5</v>
      </c>
      <c r="I33" s="19">
        <f>IF(C33&lt;&gt;0,(E33-C33)/ABS(C33),0)</f>
        <v>-0.1111111111111111</v>
      </c>
      <c r="J33" s="37" t="str">
        <f>IF(E33&gt;D33,"▲ Above","▼ Below")</f>
        <v>▼ Below</v>
      </c>
      <c r="K33" s="40"/>
    </row>
    <row r="34" spans="1:11" x14ac:dyDescent="0.25">
      <c r="A34" s="10" t="s">
        <v>132</v>
      </c>
      <c r="B34" s="35" t="s">
        <v>133</v>
      </c>
      <c r="C34" s="41">
        <v>42</v>
      </c>
      <c r="D34" s="41">
        <v>44.1</v>
      </c>
      <c r="E34" s="41">
        <v>48</v>
      </c>
      <c r="F34" s="42">
        <f>E34-D34</f>
        <v>3.8999999999999986</v>
      </c>
      <c r="G34" s="22">
        <f>IF(D34&lt;&gt;0,(E34-D34)/ABS(D34),0)</f>
        <v>8.8435374149659823E-2</v>
      </c>
      <c r="H34" s="42">
        <f>E34-C34</f>
        <v>6</v>
      </c>
      <c r="I34" s="22">
        <f>IF(C34&lt;&gt;0,(E34-C34)/ABS(C34),0)</f>
        <v>0.14285714285714285</v>
      </c>
      <c r="J34" s="43" t="str">
        <f>IF(E34&gt;D34,"▲ Above","▼ Below")</f>
        <v>▲ Above</v>
      </c>
      <c r="K34" s="40"/>
    </row>
  </sheetData>
  <mergeCells count="6">
    <mergeCell ref="A30:K30"/>
    <mergeCell ref="A1:K1"/>
    <mergeCell ref="A6:K6"/>
    <mergeCell ref="A12:K12"/>
    <mergeCell ref="A18:K18"/>
    <mergeCell ref="A24:K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C891-0BF3-4331-9F0F-0D3AFEFC2F62}">
  <dimension ref="A1:H22"/>
  <sheetViews>
    <sheetView tabSelected="1"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5"/>
  <cols>
    <col min="1" max="1" width="24.7109375" customWidth="1"/>
    <col min="2" max="2" width="16.7109375" customWidth="1"/>
    <col min="3" max="3" width="23" customWidth="1"/>
    <col min="4" max="4" width="16.7109375" customWidth="1"/>
    <col min="5" max="6" width="14.7109375" customWidth="1"/>
    <col min="7" max="7" width="12.7109375" customWidth="1"/>
    <col min="8" max="8" width="35.7109375" customWidth="1"/>
  </cols>
  <sheetData>
    <row r="1" spans="1:8" ht="26.1" customHeight="1" x14ac:dyDescent="0.25">
      <c r="A1" s="55" t="s">
        <v>134</v>
      </c>
      <c r="B1" s="56"/>
      <c r="C1" s="56"/>
      <c r="D1" s="56"/>
      <c r="E1" s="56"/>
      <c r="F1" s="56"/>
      <c r="G1" s="56"/>
      <c r="H1" s="56"/>
    </row>
    <row r="2" spans="1:8" x14ac:dyDescent="0.25">
      <c r="A2" s="1" t="s">
        <v>135</v>
      </c>
    </row>
    <row r="4" spans="1:8" x14ac:dyDescent="0.25">
      <c r="A4" s="57" t="s">
        <v>136</v>
      </c>
      <c r="B4" s="58"/>
      <c r="C4" s="58"/>
      <c r="D4" s="58"/>
      <c r="E4" s="58"/>
      <c r="F4" s="58"/>
      <c r="G4" s="58"/>
      <c r="H4" s="58"/>
    </row>
    <row r="5" spans="1:8" ht="27.95" customHeight="1" x14ac:dyDescent="0.25">
      <c r="A5" s="3" t="s">
        <v>137</v>
      </c>
      <c r="B5" s="3" t="s">
        <v>3</v>
      </c>
      <c r="C5" s="3" t="s">
        <v>17</v>
      </c>
      <c r="D5" s="3" t="s">
        <v>138</v>
      </c>
      <c r="E5" s="3" t="s">
        <v>139</v>
      </c>
      <c r="F5" s="3" t="s">
        <v>140</v>
      </c>
      <c r="G5" s="3" t="s">
        <v>141</v>
      </c>
      <c r="H5" s="3" t="s">
        <v>89</v>
      </c>
    </row>
    <row r="6" spans="1:8" x14ac:dyDescent="0.25">
      <c r="A6" s="10" t="s">
        <v>18</v>
      </c>
      <c r="B6" s="20">
        <v>5400000</v>
      </c>
      <c r="C6" s="20">
        <v>2035000</v>
      </c>
      <c r="D6" s="21">
        <f t="shared" ref="D6:D13" si="0">C6-B6</f>
        <v>-3365000</v>
      </c>
      <c r="E6" s="43" t="str">
        <f t="shared" ref="E6:E13" si="1">IF(C6&gt;=B6,"🟢 On Track","🔴 At Risk")</f>
        <v>🔴 At Risk</v>
      </c>
      <c r="F6" s="20">
        <v>4455000</v>
      </c>
      <c r="G6" s="22">
        <f t="shared" ref="G6:G13" si="2">IF(F6&lt;&gt;0,(C6-F6)/ABS(F6),0)</f>
        <v>-0.54320987654320985</v>
      </c>
      <c r="H6" s="40"/>
    </row>
    <row r="7" spans="1:8" x14ac:dyDescent="0.25">
      <c r="A7" s="5" t="s">
        <v>20</v>
      </c>
      <c r="B7" s="12">
        <v>0.21</v>
      </c>
      <c r="C7" s="12">
        <v>0.2</v>
      </c>
      <c r="D7" s="19">
        <f t="shared" si="0"/>
        <v>-9.9999999999999811E-3</v>
      </c>
      <c r="E7" s="37" t="str">
        <f t="shared" si="1"/>
        <v>🔴 At Risk</v>
      </c>
      <c r="F7" s="13">
        <v>0.15</v>
      </c>
      <c r="G7" s="19">
        <f t="shared" si="2"/>
        <v>0.33333333333333348</v>
      </c>
      <c r="H7" s="40"/>
    </row>
    <row r="8" spans="1:8" x14ac:dyDescent="0.25">
      <c r="A8" s="10" t="s">
        <v>23</v>
      </c>
      <c r="B8" s="24">
        <v>0.62</v>
      </c>
      <c r="C8" s="24">
        <v>0.61799999999999999</v>
      </c>
      <c r="D8" s="22">
        <f t="shared" si="0"/>
        <v>-2.0000000000000018E-3</v>
      </c>
      <c r="E8" s="43" t="str">
        <f t="shared" si="1"/>
        <v>🔴 At Risk</v>
      </c>
      <c r="F8" s="24">
        <v>0.6</v>
      </c>
      <c r="G8" s="22">
        <f t="shared" si="2"/>
        <v>3.0000000000000027E-2</v>
      </c>
      <c r="H8" s="40"/>
    </row>
    <row r="9" spans="1:8" x14ac:dyDescent="0.25">
      <c r="A9" s="5" t="s">
        <v>25</v>
      </c>
      <c r="B9" s="7">
        <v>1188000</v>
      </c>
      <c r="C9" s="7">
        <v>458000</v>
      </c>
      <c r="D9" s="18">
        <f t="shared" si="0"/>
        <v>-730000</v>
      </c>
      <c r="E9" s="37" t="str">
        <f t="shared" si="1"/>
        <v>🔴 At Risk</v>
      </c>
      <c r="F9" s="8">
        <v>936000</v>
      </c>
      <c r="G9" s="19">
        <f t="shared" si="2"/>
        <v>-0.51068376068376065</v>
      </c>
      <c r="H9" s="40"/>
    </row>
    <row r="10" spans="1:8" x14ac:dyDescent="0.25">
      <c r="A10" s="10" t="s">
        <v>26</v>
      </c>
      <c r="B10" s="24">
        <v>0.22</v>
      </c>
      <c r="C10" s="24">
        <v>0.22500000000000001</v>
      </c>
      <c r="D10" s="22">
        <f t="shared" si="0"/>
        <v>5.0000000000000044E-3</v>
      </c>
      <c r="E10" s="43" t="str">
        <f t="shared" si="1"/>
        <v>🟢 On Track</v>
      </c>
      <c r="F10" s="24">
        <v>0.21</v>
      </c>
      <c r="G10" s="22">
        <f t="shared" si="2"/>
        <v>7.1428571428571494E-2</v>
      </c>
      <c r="H10" s="40"/>
    </row>
    <row r="11" spans="1:8" x14ac:dyDescent="0.25">
      <c r="A11" s="5" t="s">
        <v>32</v>
      </c>
      <c r="B11" s="39">
        <v>151</v>
      </c>
      <c r="C11" s="39">
        <v>149</v>
      </c>
      <c r="D11" s="23">
        <f t="shared" si="0"/>
        <v>-2</v>
      </c>
      <c r="E11" s="37" t="str">
        <f t="shared" si="1"/>
        <v>🔴 At Risk</v>
      </c>
      <c r="F11" s="38">
        <v>135</v>
      </c>
      <c r="G11" s="19">
        <f t="shared" si="2"/>
        <v>0.1037037037037037</v>
      </c>
      <c r="H11" s="40"/>
    </row>
    <row r="12" spans="1:8" x14ac:dyDescent="0.25">
      <c r="A12" s="10" t="s">
        <v>35</v>
      </c>
      <c r="B12" s="41">
        <v>850</v>
      </c>
      <c r="C12" s="41">
        <v>792</v>
      </c>
      <c r="D12" s="42">
        <f t="shared" si="0"/>
        <v>-58</v>
      </c>
      <c r="E12" s="43" t="str">
        <f t="shared" si="1"/>
        <v>🔴 At Risk</v>
      </c>
      <c r="F12" s="41">
        <v>720</v>
      </c>
      <c r="G12" s="22">
        <f t="shared" si="2"/>
        <v>0.1</v>
      </c>
      <c r="H12" s="40"/>
    </row>
    <row r="13" spans="1:8" x14ac:dyDescent="0.25">
      <c r="A13" s="5" t="s">
        <v>126</v>
      </c>
      <c r="B13" s="7">
        <v>36000</v>
      </c>
      <c r="C13" s="7">
        <v>34500</v>
      </c>
      <c r="D13" s="18">
        <f t="shared" si="0"/>
        <v>-1500</v>
      </c>
      <c r="E13" s="37" t="str">
        <f t="shared" si="1"/>
        <v>🔴 At Risk</v>
      </c>
      <c r="F13" s="8">
        <v>33000</v>
      </c>
      <c r="G13" s="19">
        <f t="shared" si="2"/>
        <v>4.5454545454545456E-2</v>
      </c>
      <c r="H13" s="40"/>
    </row>
    <row r="16" spans="1:8" x14ac:dyDescent="0.25">
      <c r="A16" s="57" t="s">
        <v>142</v>
      </c>
      <c r="B16" s="58"/>
      <c r="C16" s="58"/>
      <c r="D16" s="58"/>
      <c r="E16" s="58"/>
      <c r="F16" s="58"/>
      <c r="G16" s="58"/>
      <c r="H16" s="58"/>
    </row>
    <row r="17" spans="1:3" ht="24" customHeight="1" x14ac:dyDescent="0.25">
      <c r="A17" s="3" t="s">
        <v>54</v>
      </c>
      <c r="B17" s="3" t="s">
        <v>139</v>
      </c>
      <c r="C17" s="3" t="s">
        <v>143</v>
      </c>
    </row>
    <row r="18" spans="1:3" ht="36" customHeight="1" x14ac:dyDescent="0.25">
      <c r="A18" s="51" t="s">
        <v>144</v>
      </c>
      <c r="B18" s="52" t="s">
        <v>145</v>
      </c>
      <c r="C18" s="53" t="s">
        <v>146</v>
      </c>
    </row>
    <row r="19" spans="1:3" ht="36" customHeight="1" x14ac:dyDescent="0.25">
      <c r="A19" s="49" t="s">
        <v>147</v>
      </c>
      <c r="B19" s="40" t="s">
        <v>145</v>
      </c>
      <c r="C19" s="50" t="s">
        <v>148</v>
      </c>
    </row>
    <row r="20" spans="1:3" ht="36" customHeight="1" x14ac:dyDescent="0.25">
      <c r="A20" s="51" t="s">
        <v>149</v>
      </c>
      <c r="B20" s="52" t="s">
        <v>145</v>
      </c>
      <c r="C20" s="53" t="s">
        <v>150</v>
      </c>
    </row>
    <row r="21" spans="1:3" ht="36" customHeight="1" x14ac:dyDescent="0.25">
      <c r="A21" s="49" t="s">
        <v>29</v>
      </c>
      <c r="B21" s="40" t="s">
        <v>145</v>
      </c>
      <c r="C21" s="50" t="s">
        <v>151</v>
      </c>
    </row>
    <row r="22" spans="1:3" ht="36" customHeight="1" x14ac:dyDescent="0.25">
      <c r="A22" s="51" t="s">
        <v>152</v>
      </c>
      <c r="B22" s="52" t="s">
        <v>145</v>
      </c>
      <c r="C22" s="53" t="s">
        <v>153</v>
      </c>
    </row>
  </sheetData>
  <mergeCells count="3">
    <mergeCell ref="A1:H1"/>
    <mergeCell ref="A4:H4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KPI_Tracker</vt:lpstr>
      <vt:lpstr>EBITDA_Bridge</vt:lpstr>
      <vt:lpstr>Driver_Analysis</vt:lpstr>
      <vt:lpstr>Exec_Summary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Lopez</dc:creator>
  <cp:lastModifiedBy>Eduardo Lopez</cp:lastModifiedBy>
  <dcterms:created xsi:type="dcterms:W3CDTF">2026-05-28T18:30:54Z</dcterms:created>
  <dcterms:modified xsi:type="dcterms:W3CDTF">2026-06-02T18:05:42Z</dcterms:modified>
</cp:coreProperties>
</file>