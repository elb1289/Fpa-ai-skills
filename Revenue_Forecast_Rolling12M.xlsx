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lop\Skills\"/>
    </mc:Choice>
  </mc:AlternateContent>
  <xr:revisionPtr revIDLastSave="0" documentId="13_ncr:1_{19AA0815-9907-441E-B523-91618F8EC87E}" xr6:coauthVersionLast="47" xr6:coauthVersionMax="47" xr10:uidLastSave="{00000000-0000-0000-0000-000000000000}"/>
  <bookViews>
    <workbookView xWindow="-120" yWindow="-120" windowWidth="20730" windowHeight="11040" xr2:uid="{482A957A-8CBF-45F6-A318-4C9C0EBA2CC6}"/>
  </bookViews>
  <sheets>
    <sheet name="Actuals" sheetId="1" r:id="rId1"/>
    <sheet name="Assumptions" sheetId="2" r:id="rId2"/>
    <sheet name="Foreca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9" i="3" l="1"/>
  <c r="M9" i="3"/>
  <c r="L9" i="3"/>
  <c r="K9" i="3"/>
  <c r="J9" i="3"/>
  <c r="I9" i="3"/>
  <c r="H9" i="3"/>
  <c r="G9" i="3"/>
  <c r="F9" i="3"/>
  <c r="E9" i="3"/>
  <c r="D9" i="3"/>
  <c r="C9" i="3"/>
  <c r="B9" i="3"/>
  <c r="N8" i="3"/>
  <c r="M8" i="3"/>
  <c r="L8" i="3"/>
  <c r="K8" i="3"/>
  <c r="J8" i="3"/>
  <c r="I8" i="3"/>
  <c r="H8" i="3"/>
  <c r="G8" i="3"/>
  <c r="F8" i="3"/>
  <c r="E8" i="3"/>
  <c r="D8" i="3"/>
  <c r="C8" i="3"/>
  <c r="B8" i="3"/>
  <c r="N7" i="3"/>
  <c r="M7" i="3"/>
  <c r="L7" i="3"/>
  <c r="K7" i="3"/>
  <c r="J7" i="3"/>
  <c r="I7" i="3"/>
  <c r="H7" i="3"/>
  <c r="G7" i="3"/>
  <c r="F7" i="3"/>
  <c r="E7" i="3"/>
  <c r="D7" i="3"/>
  <c r="C7" i="3"/>
  <c r="B7" i="3"/>
  <c r="N6" i="3"/>
  <c r="M6" i="3"/>
  <c r="L6" i="3"/>
  <c r="K6" i="3"/>
  <c r="J6" i="3"/>
  <c r="I6" i="3"/>
  <c r="H6" i="3"/>
  <c r="G6" i="3"/>
  <c r="F6" i="3"/>
  <c r="E6" i="3"/>
  <c r="D6" i="3"/>
  <c r="C6" i="3"/>
  <c r="B6" i="3"/>
  <c r="E11" i="2"/>
  <c r="B11" i="2"/>
  <c r="E10" i="2"/>
  <c r="B10" i="2"/>
  <c r="E9" i="2"/>
  <c r="B9" i="2"/>
  <c r="E8" i="2"/>
  <c r="B8" i="2"/>
  <c r="E7" i="2"/>
  <c r="B5" i="3" s="1"/>
  <c r="B7" i="2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S9" i="1"/>
  <c r="S8" i="1"/>
  <c r="S7" i="1"/>
  <c r="S6" i="1"/>
  <c r="S5" i="1"/>
  <c r="C5" i="3" l="1"/>
  <c r="B10" i="3"/>
  <c r="C10" i="3" l="1"/>
  <c r="D5" i="3"/>
  <c r="E5" i="3" l="1"/>
  <c r="D10" i="3"/>
  <c r="F5" i="3" l="1"/>
  <c r="E10" i="3"/>
  <c r="F10" i="3" l="1"/>
  <c r="G5" i="3"/>
  <c r="G10" i="3" l="1"/>
  <c r="H5" i="3"/>
  <c r="I5" i="3" l="1"/>
  <c r="H10" i="3"/>
  <c r="J5" i="3" l="1"/>
  <c r="I10" i="3"/>
  <c r="J10" i="3" l="1"/>
  <c r="K5" i="3"/>
  <c r="K10" i="3" l="1"/>
  <c r="L5" i="3"/>
  <c r="L10" i="3" l="1"/>
  <c r="M5" i="3"/>
  <c r="M10" i="3" l="1"/>
  <c r="N5" i="3"/>
  <c r="N10" i="3" s="1"/>
</calcChain>
</file>

<file path=xl/sharedStrings.xml><?xml version="1.0" encoding="utf-8"?>
<sst xmlns="http://schemas.openxmlformats.org/spreadsheetml/2006/main" count="56" uniqueCount="35">
  <si>
    <t>Historical Revenue Actuals</t>
  </si>
  <si>
    <t>Category</t>
  </si>
  <si>
    <t>TOTAL</t>
  </si>
  <si>
    <t>Product A</t>
  </si>
  <si>
    <t>Product B</t>
  </si>
  <si>
    <t>Product C</t>
  </si>
  <si>
    <t>Product D</t>
  </si>
  <si>
    <t>Other Revenue</t>
  </si>
  <si>
    <t>TOTAL REVENUE</t>
  </si>
  <si>
    <t>Forecast Assumptions &amp; Drivers</t>
  </si>
  <si>
    <t>Yellow cells = inputs. Green = cross-sheet links. Applied Rate drives the Forecast tab.</t>
  </si>
  <si>
    <t>Avg MoM Growth (Last 6M)</t>
  </si>
  <si>
    <t>Manual Override</t>
  </si>
  <si>
    <t>Use Override? (Y/N)</t>
  </si>
  <si>
    <t>Applied Rate</t>
  </si>
  <si>
    <t>Notes</t>
  </si>
  <si>
    <t>N</t>
  </si>
  <si>
    <t>Source: Internal model assumption</t>
  </si>
  <si>
    <t>Seasonality Adjustments (1.0 = no seasonality)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</si>
  <si>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</si>
  <si>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</si>
  <si>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</si>
  <si>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</si>
  <si>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</si>
  <si>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</si>
  <si>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</si>
  <si>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</si>
  <si>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</si>
  <si>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</si>
  <si>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</si>
  <si>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</si>
  <si>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</si>
  <si>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Seasonal Index</t>
  </si>
  <si>
    <t>Rolling 12-Month Revenue Forecast</t>
  </si>
  <si>
    <t>TOTAL 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</si>
</sst>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\(&quot;$&quot;#,##0\);&quot;-&quot;"/>
    <numFmt numFmtId="165" formatCode="0.0%;\(0.0%\);\-"/>
  </numFmts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10"/>
      <color rgb="FF595959"/>
      <name val="Arial"/>
      <family val="2"/>
    </font>
    <font>
      <sz val="10"/>
      <color rgb="FF008000"/>
      <name val="Arial"/>
      <family val="2"/>
    </font>
    <font>
      <i/>
      <sz val="9"/>
      <color rgb="FF595959"/>
      <name val="Arial"/>
      <family val="2"/>
    </font>
    <font>
      <b/>
      <sz val="10"/>
      <color rgb="FF2E75B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" fontId="3" fillId="3" borderId="0" xfId="0" applyNumberFormat="1" applyFont="1" applyFill="1" applyAlignment="1">
      <alignment horizontal="center" vertical="center" wrapText="1"/>
    </xf>
    <xf numFmtId="0" fontId="4" fillId="0" borderId="0" xfId="0" applyFont="1"/>
    <xf numFmtId="164" fontId="5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4" fillId="4" borderId="0" xfId="0" applyFont="1" applyFill="1"/>
    <xf numFmtId="164" fontId="5" fillId="4" borderId="0" xfId="0" applyNumberFormat="1" applyFont="1" applyFill="1" applyAlignment="1">
      <alignment horizontal="right"/>
    </xf>
    <xf numFmtId="164" fontId="6" fillId="4" borderId="0" xfId="0" applyNumberFormat="1" applyFont="1" applyFill="1" applyAlignment="1">
      <alignment horizontal="right"/>
    </xf>
    <xf numFmtId="0" fontId="1" fillId="3" borderId="0" xfId="0" applyFont="1" applyFill="1"/>
    <xf numFmtId="164" fontId="1" fillId="3" borderId="0" xfId="0" applyNumberFormat="1" applyFont="1" applyFill="1" applyAlignment="1">
      <alignment horizontal="right"/>
    </xf>
    <xf numFmtId="0" fontId="7" fillId="0" borderId="0" xfId="0" applyFont="1"/>
    <xf numFmtId="165" fontId="8" fillId="0" borderId="0" xfId="0" applyNumberFormat="1" applyFont="1" applyAlignment="1">
      <alignment horizontal="right"/>
    </xf>
    <xf numFmtId="165" fontId="5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center"/>
    </xf>
    <xf numFmtId="165" fontId="6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center"/>
    </xf>
    <xf numFmtId="2" fontId="5" fillId="5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right"/>
    </xf>
    <xf numFmtId="164" fontId="8" fillId="4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0937-5D7F-4ED2-B43B-1BF96576070B}">
  <dimension ref="A1:S10"/>
  <sheetViews>
    <sheetView tabSelected="1"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R5" sqref="R5"/>
    </sheetView>
  </sheetViews>
  <sheetFormatPr defaultRowHeight="15" x14ac:dyDescent="0.25"/>
  <cols>
    <col min="1" max="1" width="18.7109375" customWidth="1"/>
    <col min="2" max="19" width="11.7109375" customWidth="1"/>
  </cols>
  <sheetData>
    <row r="1" spans="1:19" ht="24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3" spans="1:19" ht="32.1" customHeight="1" x14ac:dyDescent="0.25">
      <c r="A3" s="2" t="s">
        <v>1</v>
      </c>
      <c r="B3" s="3">
        <v>46046</v>
      </c>
      <c r="C3" s="3">
        <v>46077</v>
      </c>
      <c r="D3" s="3">
        <v>46105</v>
      </c>
      <c r="E3" s="3">
        <v>46136</v>
      </c>
      <c r="F3" s="3">
        <v>46166</v>
      </c>
      <c r="G3" s="3">
        <v>46197</v>
      </c>
      <c r="H3" s="3">
        <v>46227</v>
      </c>
      <c r="I3" s="3">
        <v>46258</v>
      </c>
      <c r="J3" s="3">
        <v>46289</v>
      </c>
      <c r="K3" s="3">
        <v>46319</v>
      </c>
      <c r="L3" s="3">
        <v>46350</v>
      </c>
      <c r="M3" s="3">
        <v>46380</v>
      </c>
      <c r="N3" s="3">
        <v>46047</v>
      </c>
      <c r="O3" s="3">
        <v>46078</v>
      </c>
      <c r="P3" s="3">
        <v>46106</v>
      </c>
      <c r="Q3" s="3">
        <v>46137</v>
      </c>
      <c r="R3" s="3">
        <v>46167</v>
      </c>
      <c r="S3" s="2" t="s">
        <v>2</v>
      </c>
    </row>
    <row r="5" spans="1:19" x14ac:dyDescent="0.25">
      <c r="A5" s="4" t="s">
        <v>3</v>
      </c>
      <c r="B5" s="5">
        <v>123840</v>
      </c>
      <c r="C5" s="5">
        <v>127184</v>
      </c>
      <c r="D5" s="5">
        <v>131635</v>
      </c>
      <c r="E5" s="5">
        <v>135452</v>
      </c>
      <c r="F5" s="5">
        <v>140057</v>
      </c>
      <c r="G5" s="5">
        <v>143979</v>
      </c>
      <c r="H5" s="5">
        <v>148730</v>
      </c>
      <c r="I5" s="5">
        <v>152597</v>
      </c>
      <c r="J5" s="5">
        <v>157328</v>
      </c>
      <c r="K5" s="5">
        <v>161261</v>
      </c>
      <c r="L5" s="5">
        <v>166583</v>
      </c>
      <c r="M5" s="5">
        <v>171247</v>
      </c>
      <c r="N5" s="5">
        <v>177069</v>
      </c>
      <c r="O5" s="5">
        <v>182204</v>
      </c>
      <c r="P5" s="5">
        <v>188035</v>
      </c>
      <c r="Q5" s="5">
        <v>193112</v>
      </c>
      <c r="R5" s="5">
        <v>199871</v>
      </c>
      <c r="S5" s="6">
        <f>SUM(B5:R5)</f>
        <v>2700184</v>
      </c>
    </row>
    <row r="6" spans="1:19" x14ac:dyDescent="0.25">
      <c r="A6" s="7" t="s">
        <v>4</v>
      </c>
      <c r="B6" s="8">
        <v>86870</v>
      </c>
      <c r="C6" s="8">
        <v>88347</v>
      </c>
      <c r="D6" s="8">
        <v>90556</v>
      </c>
      <c r="E6" s="8">
        <v>92277</v>
      </c>
      <c r="F6" s="8">
        <v>94492</v>
      </c>
      <c r="G6" s="8">
        <v>96193</v>
      </c>
      <c r="H6" s="8">
        <v>98405</v>
      </c>
      <c r="I6" s="8">
        <v>99979</v>
      </c>
      <c r="J6" s="8">
        <v>102079</v>
      </c>
      <c r="K6" s="8">
        <v>103610</v>
      </c>
      <c r="L6" s="8">
        <v>105993</v>
      </c>
      <c r="M6" s="8">
        <v>107901</v>
      </c>
      <c r="N6" s="8">
        <v>110491</v>
      </c>
      <c r="O6" s="8">
        <v>112590</v>
      </c>
      <c r="P6" s="8">
        <v>115067</v>
      </c>
      <c r="Q6" s="8">
        <v>117023</v>
      </c>
      <c r="R6" s="8">
        <v>119949</v>
      </c>
      <c r="S6" s="9">
        <f>SUM(B6:R6)</f>
        <v>1741822</v>
      </c>
    </row>
    <row r="7" spans="1:19" x14ac:dyDescent="0.25">
      <c r="A7" s="4" t="s">
        <v>5</v>
      </c>
      <c r="B7" s="5">
        <v>46890</v>
      </c>
      <c r="C7" s="5">
        <v>48625</v>
      </c>
      <c r="D7" s="5">
        <v>50813</v>
      </c>
      <c r="E7" s="5">
        <v>52795</v>
      </c>
      <c r="F7" s="5">
        <v>55118</v>
      </c>
      <c r="G7" s="5">
        <v>57212</v>
      </c>
      <c r="H7" s="5">
        <v>59672</v>
      </c>
      <c r="I7" s="5">
        <v>61820</v>
      </c>
      <c r="J7" s="5">
        <v>64355</v>
      </c>
      <c r="K7" s="5">
        <v>66607</v>
      </c>
      <c r="L7" s="5">
        <v>69471</v>
      </c>
      <c r="M7" s="5">
        <v>72111</v>
      </c>
      <c r="N7" s="5">
        <v>75284</v>
      </c>
      <c r="O7" s="5">
        <v>78220</v>
      </c>
      <c r="P7" s="5">
        <v>81505</v>
      </c>
      <c r="Q7" s="5">
        <v>84521</v>
      </c>
      <c r="R7" s="5">
        <v>88324</v>
      </c>
      <c r="S7" s="6">
        <f>SUM(B7:R7)</f>
        <v>1113343</v>
      </c>
    </row>
    <row r="8" spans="1:19" x14ac:dyDescent="0.25">
      <c r="A8" s="7" t="s">
        <v>6</v>
      </c>
      <c r="B8" s="8">
        <v>30060</v>
      </c>
      <c r="C8" s="8">
        <v>29970</v>
      </c>
      <c r="D8" s="8">
        <v>30120</v>
      </c>
      <c r="E8" s="8">
        <v>30090</v>
      </c>
      <c r="F8" s="8">
        <v>30210</v>
      </c>
      <c r="G8" s="8">
        <v>30150</v>
      </c>
      <c r="H8" s="8">
        <v>30240</v>
      </c>
      <c r="I8" s="8">
        <v>30119</v>
      </c>
      <c r="J8" s="8">
        <v>30149</v>
      </c>
      <c r="K8" s="8">
        <v>29998</v>
      </c>
      <c r="L8" s="8">
        <v>30088</v>
      </c>
      <c r="M8" s="8">
        <v>30028</v>
      </c>
      <c r="N8" s="8">
        <v>30148</v>
      </c>
      <c r="O8" s="8">
        <v>30118</v>
      </c>
      <c r="P8" s="8">
        <v>30178</v>
      </c>
      <c r="Q8" s="8">
        <v>30087</v>
      </c>
      <c r="R8" s="8">
        <v>30237</v>
      </c>
      <c r="S8" s="9">
        <f>SUM(B8:R8)</f>
        <v>511990</v>
      </c>
    </row>
    <row r="9" spans="1:19" x14ac:dyDescent="0.25">
      <c r="A9" s="4" t="s">
        <v>7</v>
      </c>
      <c r="B9" s="5">
        <v>15030</v>
      </c>
      <c r="C9" s="5">
        <v>14985</v>
      </c>
      <c r="D9" s="5">
        <v>15060</v>
      </c>
      <c r="E9" s="5">
        <v>15045</v>
      </c>
      <c r="F9" s="5">
        <v>15105</v>
      </c>
      <c r="G9" s="5">
        <v>15075</v>
      </c>
      <c r="H9" s="5">
        <v>15120</v>
      </c>
      <c r="I9" s="5">
        <v>15060</v>
      </c>
      <c r="J9" s="5">
        <v>15075</v>
      </c>
      <c r="K9" s="5">
        <v>15000</v>
      </c>
      <c r="L9" s="5">
        <v>15045</v>
      </c>
      <c r="M9" s="5">
        <v>15015</v>
      </c>
      <c r="N9" s="5">
        <v>15075</v>
      </c>
      <c r="O9" s="5">
        <v>15060</v>
      </c>
      <c r="P9" s="5">
        <v>15090</v>
      </c>
      <c r="Q9" s="5">
        <v>15045</v>
      </c>
      <c r="R9" s="5">
        <v>15120</v>
      </c>
      <c r="S9" s="6">
        <f>SUM(B9:R9)</f>
        <v>256005</v>
      </c>
    </row>
    <row r="10" spans="1:19" x14ac:dyDescent="0.25">
      <c r="A10" s="10" t="s">
        <v>8</v>
      </c>
      <c r="B10" s="11">
        <f t="shared" ref="B10:S10" si="0">SUM(B5:B9)</f>
        <v>302690</v>
      </c>
      <c r="C10" s="11">
        <f t="shared" si="0"/>
        <v>309111</v>
      </c>
      <c r="D10" s="11">
        <f t="shared" si="0"/>
        <v>318184</v>
      </c>
      <c r="E10" s="11">
        <f t="shared" si="0"/>
        <v>325659</v>
      </c>
      <c r="F10" s="11">
        <f t="shared" si="0"/>
        <v>334982</v>
      </c>
      <c r="G10" s="11">
        <f t="shared" si="0"/>
        <v>342609</v>
      </c>
      <c r="H10" s="11">
        <f t="shared" si="0"/>
        <v>352167</v>
      </c>
      <c r="I10" s="11">
        <f t="shared" si="0"/>
        <v>359575</v>
      </c>
      <c r="J10" s="11">
        <f t="shared" si="0"/>
        <v>368986</v>
      </c>
      <c r="K10" s="11">
        <f t="shared" si="0"/>
        <v>376476</v>
      </c>
      <c r="L10" s="11">
        <f t="shared" si="0"/>
        <v>387180</v>
      </c>
      <c r="M10" s="11">
        <f t="shared" si="0"/>
        <v>396302</v>
      </c>
      <c r="N10" s="11">
        <f t="shared" si="0"/>
        <v>408067</v>
      </c>
      <c r="O10" s="11">
        <f t="shared" si="0"/>
        <v>418192</v>
      </c>
      <c r="P10" s="11">
        <f t="shared" si="0"/>
        <v>429875</v>
      </c>
      <c r="Q10" s="11">
        <f t="shared" si="0"/>
        <v>439788</v>
      </c>
      <c r="R10" s="11">
        <f t="shared" si="0"/>
        <v>453501</v>
      </c>
      <c r="S10" s="11">
        <f t="shared" si="0"/>
        <v>6323344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7A76-F75A-473B-8347-39674BA2421E}">
  <dimension ref="A1:M1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7" sqref="E7"/>
    </sheetView>
  </sheetViews>
  <sheetFormatPr defaultRowHeight="15" x14ac:dyDescent="0.25"/>
  <cols>
    <col min="1" max="1" width="18.7109375" customWidth="1"/>
    <col min="2" max="2" width="26.7109375" customWidth="1"/>
    <col min="3" max="3" width="16.7109375" customWidth="1"/>
    <col min="4" max="4" width="18.7109375" customWidth="1"/>
    <col min="5" max="5" width="14.7109375" customWidth="1"/>
    <col min="6" max="6" width="32.7109375" customWidth="1"/>
  </cols>
  <sheetData>
    <row r="1" spans="1:13" ht="24" customHeight="1" x14ac:dyDescent="0.25">
      <c r="A1" s="22" t="s">
        <v>9</v>
      </c>
      <c r="B1" s="23"/>
      <c r="C1" s="23"/>
      <c r="D1" s="23"/>
      <c r="E1" s="23"/>
      <c r="F1" s="23"/>
    </row>
    <row r="3" spans="1:13" x14ac:dyDescent="0.25">
      <c r="A3" s="12" t="s">
        <v>10</v>
      </c>
    </row>
    <row r="5" spans="1:13" ht="32.1" customHeight="1" x14ac:dyDescent="0.25">
      <c r="A5" s="2" t="s">
        <v>1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</row>
    <row r="7" spans="1:13" x14ac:dyDescent="0.25">
      <c r="A7" s="4" t="s">
        <v>3</v>
      </c>
      <c r="B7" s="13">
        <f>AVERAGE((Actuals!N5/Actuals!M5-1),(Actuals!O5/Actuals!N5-1),(Actuals!P5/Actuals!O5-1),(Actuals!Q5/Actuals!P5-1),(Actuals!R5/Actuals!Q5-1))</f>
        <v>3.14001934986472E-2</v>
      </c>
      <c r="C7" s="14">
        <v>0.03</v>
      </c>
      <c r="D7" s="15" t="s">
        <v>16</v>
      </c>
      <c r="E7" s="16">
        <f>IF(D7="Y",C7,B7)</f>
        <v>3.14001934986472E-2</v>
      </c>
      <c r="F7" s="17" t="s">
        <v>17</v>
      </c>
    </row>
    <row r="8" spans="1:13" x14ac:dyDescent="0.25">
      <c r="A8" s="4" t="s">
        <v>4</v>
      </c>
      <c r="B8" s="13">
        <f>AVERAGE((Actuals!N6/Actuals!M6-1),(Actuals!O6/Actuals!N6-1),(Actuals!P6/Actuals!O6-1),(Actuals!Q6/Actuals!P6-1),(Actuals!R6/Actuals!Q6-1))</f>
        <v>2.1400621693236088E-2</v>
      </c>
      <c r="C8" s="14">
        <v>0.02</v>
      </c>
      <c r="D8" s="15" t="s">
        <v>16</v>
      </c>
      <c r="E8" s="16">
        <f>IF(D8="Y",C8,B8)</f>
        <v>2.1400621693236088E-2</v>
      </c>
      <c r="F8" s="17" t="s">
        <v>17</v>
      </c>
    </row>
    <row r="9" spans="1:13" x14ac:dyDescent="0.25">
      <c r="A9" s="4" t="s">
        <v>5</v>
      </c>
      <c r="B9" s="13">
        <f>AVERAGE((Actuals!N7/Actuals!M7-1),(Actuals!O7/Actuals!N7-1),(Actuals!P7/Actuals!O7-1),(Actuals!Q7/Actuals!P7-1),(Actuals!R7/Actuals!Q7-1))</f>
        <v>4.1399226136266877E-2</v>
      </c>
      <c r="C9" s="14">
        <v>0.04</v>
      </c>
      <c r="D9" s="15" t="s">
        <v>16</v>
      </c>
      <c r="E9" s="16">
        <f>IF(D9="Y",C9,B9)</f>
        <v>4.1399226136266877E-2</v>
      </c>
      <c r="F9" s="17" t="s">
        <v>17</v>
      </c>
    </row>
    <row r="10" spans="1:13" x14ac:dyDescent="0.25">
      <c r="A10" s="4" t="s">
        <v>6</v>
      </c>
      <c r="B10" s="13">
        <f>AVERAGE((Actuals!N8/Actuals!M8-1),(Actuals!O8/Actuals!N8-1),(Actuals!P8/Actuals!O8-1),(Actuals!Q8/Actuals!P8-1),(Actuals!R8/Actuals!Q8-1))</f>
        <v>1.392688726624547E-3</v>
      </c>
      <c r="C10" s="14">
        <v>0</v>
      </c>
      <c r="D10" s="15" t="s">
        <v>16</v>
      </c>
      <c r="E10" s="16">
        <f>IF(D10="Y",C10,B10)</f>
        <v>1.392688726624547E-3</v>
      </c>
      <c r="F10" s="17" t="s">
        <v>17</v>
      </c>
    </row>
    <row r="11" spans="1:13" x14ac:dyDescent="0.25">
      <c r="A11" s="4" t="s">
        <v>7</v>
      </c>
      <c r="B11" s="13">
        <f>AVERAGE((Actuals!N9/Actuals!M9-1),(Actuals!O9/Actuals!N9-1),(Actuals!P9/Actuals!O9-1),(Actuals!Q9/Actuals!P9-1),(Actuals!R9/Actuals!Q9-1))</f>
        <v>1.3991897004862475E-3</v>
      </c>
      <c r="C11" s="14">
        <v>0</v>
      </c>
      <c r="D11" s="15" t="s">
        <v>16</v>
      </c>
      <c r="E11" s="16">
        <f>IF(D11="Y",C11,B11)</f>
        <v>1.3991897004862475E-3</v>
      </c>
      <c r="F11" s="17" t="s">
        <v>17</v>
      </c>
    </row>
    <row r="13" spans="1:13" ht="20.100000000000001" customHeight="1" x14ac:dyDescent="0.25">
      <c r="A13" s="22" t="s">
        <v>18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x14ac:dyDescent="0.25">
      <c r="A14" s="1" t="s">
        <v>19</v>
      </c>
      <c r="B14" s="18" t="s">
        <v>20</v>
      </c>
      <c r="C14" s="18" t="s">
        <v>21</v>
      </c>
      <c r="D14" s="18" t="s">
        <v>22</v>
      </c>
      <c r="E14" s="18" t="s">
        <v>23</v>
      </c>
      <c r="F14" s="18" t="s">
        <v>24</v>
      </c>
      <c r="G14" s="18" t="s">
        <v>25</v>
      </c>
      <c r="H14" s="18" t="s">
        <v>26</v>
      </c>
      <c r="I14" s="18" t="s">
        <v>27</v>
      </c>
      <c r="J14" s="18" t="s">
        <v>28</v>
      </c>
      <c r="K14" s="18" t="s">
        <v>29</v>
      </c>
      <c r="L14" s="18" t="s">
        <v>30</v>
      </c>
      <c r="M14" s="18" t="s">
        <v>31</v>
      </c>
    </row>
    <row r="15" spans="1:13" x14ac:dyDescent="0.25">
      <c r="A15" s="4" t="s">
        <v>32</v>
      </c>
      <c r="B15" s="19">
        <v>1</v>
      </c>
      <c r="C15" s="19">
        <v>1</v>
      </c>
      <c r="D15" s="19">
        <v>1</v>
      </c>
      <c r="E15" s="19">
        <v>1</v>
      </c>
      <c r="F15" s="19">
        <v>1</v>
      </c>
      <c r="G15" s="19">
        <v>1</v>
      </c>
      <c r="H15" s="19">
        <v>1</v>
      </c>
      <c r="I15" s="19">
        <v>1</v>
      </c>
      <c r="J15" s="19">
        <v>1</v>
      </c>
      <c r="K15" s="19">
        <v>1</v>
      </c>
      <c r="L15" s="19">
        <v>1</v>
      </c>
      <c r="M15" s="19">
        <v>1</v>
      </c>
    </row>
  </sheetData>
  <mergeCells count="2">
    <mergeCell ref="A1:F1"/>
    <mergeCell ref="A13:M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28E9-7D7F-4B42-8528-05818F87C26C}">
  <dimension ref="A1:N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5" sqref="N5"/>
    </sheetView>
  </sheetViews>
  <sheetFormatPr defaultRowHeight="15" x14ac:dyDescent="0.25"/>
  <cols>
    <col min="1" max="1" width="18.7109375" customWidth="1"/>
    <col min="2" max="14" width="11.7109375" customWidth="1"/>
  </cols>
  <sheetData>
    <row r="1" spans="1:14" ht="24" customHeight="1" x14ac:dyDescent="0.25">
      <c r="A1" s="22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3" spans="1:14" ht="32.1" customHeight="1" x14ac:dyDescent="0.25">
      <c r="A3" s="2" t="s">
        <v>1</v>
      </c>
      <c r="B3" s="3">
        <v>46198</v>
      </c>
      <c r="C3" s="3">
        <v>46228</v>
      </c>
      <c r="D3" s="3">
        <v>46259</v>
      </c>
      <c r="E3" s="3">
        <v>46290</v>
      </c>
      <c r="F3" s="3">
        <v>46320</v>
      </c>
      <c r="G3" s="3">
        <v>46351</v>
      </c>
      <c r="H3" s="3">
        <v>46381</v>
      </c>
      <c r="I3" s="3">
        <v>46048</v>
      </c>
      <c r="J3" s="3">
        <v>46079</v>
      </c>
      <c r="K3" s="3">
        <v>46107</v>
      </c>
      <c r="L3" s="3">
        <v>46138</v>
      </c>
      <c r="M3" s="3">
        <v>46168</v>
      </c>
      <c r="N3" s="2" t="s">
        <v>34</v>
      </c>
    </row>
    <row r="5" spans="1:14" x14ac:dyDescent="0.25">
      <c r="A5" s="4" t="s">
        <v>3</v>
      </c>
      <c r="B5" s="20">
        <f>Actuals!R5*(1+Assumptions!E7)*Assumptions!G15</f>
        <v>206146.9880747681</v>
      </c>
      <c r="C5" s="6">
        <f>B5*(1+Assumptions!E7)*Assumptions!H15</f>
        <v>212620.04338947913</v>
      </c>
      <c r="D5" s="6">
        <f>C5*(1+Assumptions!E7)*Assumptions!I15</f>
        <v>219296.35389359953</v>
      </c>
      <c r="E5" s="6">
        <f>D5*(1+Assumptions!E7)*Assumptions!J15</f>
        <v>226182.30183940637</v>
      </c>
      <c r="F5" s="6">
        <f>E5*(1+Assumptions!E7)*Assumptions!K15</f>
        <v>233284.46988313316</v>
      </c>
      <c r="G5" s="6">
        <f>F5*(1+Assumptions!E7)*Assumptions!L15</f>
        <v>240609.64737769289</v>
      </c>
      <c r="H5" s="6">
        <f>G5*(1+Assumptions!E7)*Assumptions!M15</f>
        <v>248164.83686299372</v>
      </c>
      <c r="I5" s="6">
        <f>H5*(1+Assumptions!E7)*Assumptions!B15</f>
        <v>255957.26076005193</v>
      </c>
      <c r="J5" s="6">
        <f>I5*(1+Assumptions!E7)*Assumptions!C15</f>
        <v>263994.36827530124</v>
      </c>
      <c r="K5" s="6">
        <f>J5*(1+Assumptions!E7)*Assumptions!D15</f>
        <v>272283.84252169885</v>
      </c>
      <c r="L5" s="6">
        <f>K5*(1+Assumptions!E7)*Assumptions!E15</f>
        <v>280833.60786343541</v>
      </c>
      <c r="M5" s="6">
        <f>L5*(1+Assumptions!E7)*Assumptions!F15</f>
        <v>289651.8374912705</v>
      </c>
      <c r="N5" s="6">
        <f>SUM(B5:M5)</f>
        <v>2949025.5582328308</v>
      </c>
    </row>
    <row r="6" spans="1:14" x14ac:dyDescent="0.25">
      <c r="A6" s="4" t="s">
        <v>4</v>
      </c>
      <c r="B6" s="21">
        <f>Actuals!R6*(1+Assumptions!E8)*Assumptions!G15</f>
        <v>122515.98317148197</v>
      </c>
      <c r="C6" s="9">
        <f>B6*(1+Assumptions!E8)*Assumptions!H15</f>
        <v>125137.90137870974</v>
      </c>
      <c r="D6" s="9">
        <f>C6*(1+Assumptions!E8)*Assumptions!I15</f>
        <v>127815.93026560098</v>
      </c>
      <c r="E6" s="9">
        <f>D6*(1+Assumptions!E8)*Assumptions!J15</f>
        <v>130551.27063558415</v>
      </c>
      <c r="F6" s="9">
        <f>E6*(1+Assumptions!E8)*Assumptions!K15</f>
        <v>133345.14899002758</v>
      </c>
      <c r="G6" s="9">
        <f>F6*(1+Assumptions!E8)*Assumptions!L15</f>
        <v>136198.81807819137</v>
      </c>
      <c r="H6" s="9">
        <f>G6*(1+Assumptions!E8)*Assumptions!M15</f>
        <v>139113.55745894864</v>
      </c>
      <c r="I6" s="9">
        <f>H6*(1+Assumptions!E8)*Assumptions!B15</f>
        <v>142090.67407452787</v>
      </c>
      <c r="J6" s="9">
        <f>I6*(1+Assumptions!E8)*Assumptions!C15</f>
        <v>145131.50283653373</v>
      </c>
      <c r="K6" s="9">
        <f>J6*(1+Assumptions!E8)*Assumptions!D15</f>
        <v>148237.40722450922</v>
      </c>
      <c r="L6" s="9">
        <f>K6*(1+Assumptions!E8)*Assumptions!E15</f>
        <v>151409.77989730713</v>
      </c>
      <c r="M6" s="9">
        <f>L6*(1+Assumptions!E8)*Assumptions!F15</f>
        <v>154650.04331754555</v>
      </c>
      <c r="N6" s="9">
        <f>SUM(B6:M6)</f>
        <v>1656198.0173289678</v>
      </c>
    </row>
    <row r="7" spans="1:14" x14ac:dyDescent="0.25">
      <c r="A7" s="4" t="s">
        <v>5</v>
      </c>
      <c r="B7" s="20">
        <f>Actuals!R7*(1+Assumptions!E9)*Assumptions!G15</f>
        <v>91980.545249259623</v>
      </c>
      <c r="C7" s="6">
        <f>B7*(1+Assumptions!E9)*Assumptions!H15</f>
        <v>95788.468642170847</v>
      </c>
      <c r="D7" s="6">
        <f>C7*(1+Assumptions!E9)*Assumptions!I15</f>
        <v>99754.037116734777</v>
      </c>
      <c r="E7" s="6">
        <f>D7*(1+Assumptions!E9)*Assumptions!J15</f>
        <v>103883.77705733603</v>
      </c>
      <c r="F7" s="6">
        <f>E7*(1+Assumptions!E9)*Assumptions!K15</f>
        <v>108184.48503562222</v>
      </c>
      <c r="G7" s="6">
        <f>F7*(1+Assumptions!E9)*Assumptions!L15</f>
        <v>112663.23899604751</v>
      </c>
      <c r="H7" s="6">
        <f>G7*(1+Assumptions!E9)*Assumptions!M15</f>
        <v>117327.40990448915</v>
      </c>
      <c r="I7" s="6">
        <f>H7*(1+Assumptions!E9)*Assumptions!B15</f>
        <v>122184.67387910756</v>
      </c>
      <c r="J7" s="6">
        <f>I7*(1+Assumptions!E9)*Assumptions!C15</f>
        <v>127243.02482341474</v>
      </c>
      <c r="K7" s="6">
        <f>J7*(1+Assumptions!E9)*Assumptions!D15</f>
        <v>132510.7875823419</v>
      </c>
      <c r="L7" s="6">
        <f>K7*(1+Assumptions!E9)*Assumptions!E15</f>
        <v>137996.63164295809</v>
      </c>
      <c r="M7" s="6">
        <f>L7*(1+Assumptions!E9)*Assumptions!F15</f>
        <v>143709.58540238801</v>
      </c>
      <c r="N7" s="6">
        <f>SUM(B7:M7)</f>
        <v>1393226.6653318703</v>
      </c>
    </row>
    <row r="8" spans="1:14" x14ac:dyDescent="0.25">
      <c r="A8" s="4" t="s">
        <v>6</v>
      </c>
      <c r="B8" s="21">
        <f>Actuals!R8*(1+Assumptions!E10)*Assumptions!G15</f>
        <v>30279.110729026943</v>
      </c>
      <c r="C8" s="9">
        <f>B8*(1+Assumptions!E10)*Assumptions!H15</f>
        <v>30321.280105191472</v>
      </c>
      <c r="D8" s="9">
        <f>C8*(1+Assumptions!E10)*Assumptions!I15</f>
        <v>30363.508210170796</v>
      </c>
      <c r="E8" s="9">
        <f>D8*(1+Assumptions!E10)*Assumptions!J15</f>
        <v>30405.795125755871</v>
      </c>
      <c r="F8" s="9">
        <f>E8*(1+Assumptions!E10)*Assumptions!K15</f>
        <v>30448.140933851562</v>
      </c>
      <c r="G8" s="9">
        <f>F8*(1+Assumptions!E10)*Assumptions!L15</f>
        <v>30490.545716476809</v>
      </c>
      <c r="H8" s="9">
        <f>G8*(1+Assumptions!E10)*Assumptions!M15</f>
        <v>30533.009555764773</v>
      </c>
      <c r="I8" s="9">
        <f>H8*(1+Assumptions!E10)*Assumptions!B15</f>
        <v>30575.532533963004</v>
      </c>
      <c r="J8" s="9">
        <f>I8*(1+Assumptions!E10)*Assumptions!C15</f>
        <v>30618.114733433595</v>
      </c>
      <c r="K8" s="9">
        <f>J8*(1+Assumptions!E10)*Assumptions!D15</f>
        <v>30660.756236653342</v>
      </c>
      <c r="L8" s="9">
        <f>K8*(1+Assumptions!E10)*Assumptions!E15</f>
        <v>30703.457126213911</v>
      </c>
      <c r="M8" s="9">
        <f>L8*(1+Assumptions!E10)*Assumptions!F15</f>
        <v>30746.217484821987</v>
      </c>
      <c r="N8" s="9">
        <f>SUM(B8:M8)</f>
        <v>366145.46849132411</v>
      </c>
    </row>
    <row r="9" spans="1:14" x14ac:dyDescent="0.25">
      <c r="A9" s="4" t="s">
        <v>7</v>
      </c>
      <c r="B9" s="20">
        <f>Actuals!R9*(1+Assumptions!E11)*Assumptions!G15</f>
        <v>15141.155748271351</v>
      </c>
      <c r="C9" s="6">
        <f>B9*(1+Assumptions!E11)*Assumptions!H15</f>
        <v>15162.341097447788</v>
      </c>
      <c r="D9" s="6">
        <f>C9*(1+Assumptions!E11)*Assumptions!I15</f>
        <v>15183.556088946594</v>
      </c>
      <c r="E9" s="6">
        <f>D9*(1+Assumptions!E11)*Assumptions!J15</f>
        <v>15204.800764243002</v>
      </c>
      <c r="F9" s="6">
        <f>E9*(1+Assumptions!E11)*Assumptions!K15</f>
        <v>15226.075164870275</v>
      </c>
      <c r="G9" s="6">
        <f>F9*(1+Assumptions!E11)*Assumptions!L15</f>
        <v>15247.37933241979</v>
      </c>
      <c r="H9" s="6">
        <f>G9*(1+Assumptions!E11)*Assumptions!M15</f>
        <v>15268.713308541117</v>
      </c>
      <c r="I9" s="6">
        <f>H9*(1+Assumptions!E11)*Assumptions!B15</f>
        <v>15290.077134942103</v>
      </c>
      <c r="J9" s="6">
        <f>I9*(1+Assumptions!E11)*Assumptions!C15</f>
        <v>15311.470853388953</v>
      </c>
      <c r="K9" s="6">
        <f>J9*(1+Assumptions!E11)*Assumptions!D15</f>
        <v>15332.894505706308</v>
      </c>
      <c r="L9" s="6">
        <f>K9*(1+Assumptions!E11)*Assumptions!E15</f>
        <v>15354.348133777334</v>
      </c>
      <c r="M9" s="6">
        <f>L9*(1+Assumptions!E11)*Assumptions!F15</f>
        <v>15375.831779543794</v>
      </c>
      <c r="N9" s="6">
        <f>SUM(B9:M9)</f>
        <v>183098.6439120984</v>
      </c>
    </row>
    <row r="10" spans="1:14" x14ac:dyDescent="0.25">
      <c r="A10" s="10" t="s">
        <v>8</v>
      </c>
      <c r="B10" s="11">
        <f t="shared" ref="B10:N10" si="0">SUM(B5:B9)</f>
        <v>466063.782972808</v>
      </c>
      <c r="C10" s="11">
        <f t="shared" si="0"/>
        <v>479030.03461299895</v>
      </c>
      <c r="D10" s="11">
        <f t="shared" si="0"/>
        <v>492413.38557505264</v>
      </c>
      <c r="E10" s="11">
        <f t="shared" si="0"/>
        <v>506227.94542232546</v>
      </c>
      <c r="F10" s="11">
        <f t="shared" si="0"/>
        <v>520488.32000750478</v>
      </c>
      <c r="G10" s="11">
        <f t="shared" si="0"/>
        <v>535209.62950082833</v>
      </c>
      <c r="H10" s="11">
        <f t="shared" si="0"/>
        <v>550407.52709073736</v>
      </c>
      <c r="I10" s="11">
        <f t="shared" si="0"/>
        <v>566098.21838259243</v>
      </c>
      <c r="J10" s="11">
        <f t="shared" si="0"/>
        <v>582298.48152207234</v>
      </c>
      <c r="K10" s="11">
        <f t="shared" si="0"/>
        <v>599025.68807090959</v>
      </c>
      <c r="L10" s="11">
        <f t="shared" si="0"/>
        <v>616297.82466369204</v>
      </c>
      <c r="M10" s="11">
        <f t="shared" si="0"/>
        <v>634133.51547556987</v>
      </c>
      <c r="N10" s="11">
        <f t="shared" si="0"/>
        <v>6547694.353297092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Actuals</vt:lpstr>
      <vt:lpstr>Assumptions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Lopez</dc:creator>
  <cp:lastModifiedBy>Eduardo Lopez</cp:lastModifiedBy>
  <dcterms:created xsi:type="dcterms:W3CDTF">2026-05-28T18:08:03Z</dcterms:created>
  <dcterms:modified xsi:type="dcterms:W3CDTF">2026-05-28T23:56:35Z</dcterms:modified>
</cp:coreProperties>
</file>