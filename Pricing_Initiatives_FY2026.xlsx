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jlop\Skills\"/>
    </mc:Choice>
  </mc:AlternateContent>
  <xr:revisionPtr revIDLastSave="0" documentId="13_ncr:1_{9B0D5A49-4FAD-4AF5-822E-086D86434ADC}" xr6:coauthVersionLast="47" xr6:coauthVersionMax="47" xr10:uidLastSave="{00000000-0000-0000-0000-000000000000}"/>
  <bookViews>
    <workbookView xWindow="-120" yWindow="-120" windowWidth="20730" windowHeight="11040" activeTab="3" xr2:uid="{A2C5E42F-B1D3-4B8C-B769-2FBF1B36C614}"/>
  </bookViews>
  <sheets>
    <sheet name="Pricing_Assumptions" sheetId="1" r:id="rId1"/>
    <sheet name="PVM_Bridge" sheetId="2" r:id="rId2"/>
    <sheet name="Initiative_Tracker" sheetId="4" r:id="rId3"/>
    <sheet name="Scenario_Analysi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9" i="3" l="1"/>
  <c r="D19" i="3"/>
  <c r="C19" i="3"/>
  <c r="B19" i="3"/>
  <c r="E17" i="3"/>
  <c r="E18" i="3" s="1"/>
  <c r="D17" i="3"/>
  <c r="D18" i="3" s="1"/>
  <c r="C17" i="3"/>
  <c r="C18" i="3" s="1"/>
  <c r="B17" i="3"/>
  <c r="B18" i="3" s="1"/>
  <c r="B16" i="4"/>
  <c r="B15" i="4"/>
  <c r="B14" i="4"/>
  <c r="B13" i="4"/>
  <c r="B12" i="4"/>
  <c r="B11" i="4"/>
  <c r="H8" i="4"/>
  <c r="G8" i="4"/>
  <c r="H7" i="4"/>
  <c r="G7" i="4"/>
  <c r="H6" i="4"/>
  <c r="G6" i="4"/>
  <c r="H5" i="4"/>
  <c r="G5" i="4"/>
  <c r="H4" i="4"/>
  <c r="G4" i="4"/>
  <c r="H16" i="3"/>
  <c r="G16" i="3"/>
  <c r="F16" i="3"/>
  <c r="E16" i="3"/>
  <c r="D16" i="3"/>
  <c r="C16" i="3"/>
  <c r="B16" i="3"/>
  <c r="N12" i="3"/>
  <c r="M12" i="3"/>
  <c r="L12" i="3"/>
  <c r="K12" i="3"/>
  <c r="J12" i="3"/>
  <c r="I12" i="3"/>
  <c r="H12" i="3"/>
  <c r="G12" i="3"/>
  <c r="F12" i="3"/>
  <c r="E12" i="3"/>
  <c r="D12" i="3"/>
  <c r="C12" i="3"/>
  <c r="N11" i="3"/>
  <c r="M11" i="3"/>
  <c r="L11" i="3"/>
  <c r="K11" i="3"/>
  <c r="J11" i="3"/>
  <c r="I11" i="3"/>
  <c r="G11" i="3"/>
  <c r="E11" i="3"/>
  <c r="C11" i="3"/>
  <c r="B11" i="3"/>
  <c r="N10" i="3"/>
  <c r="M10" i="3"/>
  <c r="L10" i="3"/>
  <c r="K10" i="3"/>
  <c r="J10" i="3"/>
  <c r="I10" i="3"/>
  <c r="G10" i="3"/>
  <c r="E10" i="3"/>
  <c r="C10" i="3"/>
  <c r="B10" i="3"/>
  <c r="N9" i="3"/>
  <c r="M9" i="3"/>
  <c r="L9" i="3"/>
  <c r="K9" i="3"/>
  <c r="J9" i="3"/>
  <c r="I9" i="3"/>
  <c r="G9" i="3"/>
  <c r="E9" i="3"/>
  <c r="C9" i="3"/>
  <c r="B9" i="3"/>
  <c r="N8" i="3"/>
  <c r="M8" i="3"/>
  <c r="L8" i="3"/>
  <c r="K8" i="3"/>
  <c r="J8" i="3"/>
  <c r="I8" i="3"/>
  <c r="G8" i="3"/>
  <c r="E8" i="3"/>
  <c r="C8" i="3"/>
  <c r="B8" i="3"/>
  <c r="N7" i="3"/>
  <c r="M7" i="3"/>
  <c r="L7" i="3"/>
  <c r="K7" i="3"/>
  <c r="J7" i="3"/>
  <c r="I7" i="3"/>
  <c r="G7" i="3"/>
  <c r="E7" i="3"/>
  <c r="C7" i="3"/>
  <c r="B7" i="3"/>
  <c r="B20" i="2"/>
  <c r="B19" i="2"/>
  <c r="B18" i="2"/>
  <c r="B17" i="2"/>
  <c r="B16" i="2"/>
  <c r="B15" i="2"/>
  <c r="B14" i="2"/>
  <c r="A18" i="2"/>
  <c r="K11" i="2"/>
  <c r="J11" i="2"/>
  <c r="I11" i="2"/>
  <c r="H11" i="2"/>
  <c r="G11" i="2"/>
  <c r="F11" i="2"/>
  <c r="K10" i="2"/>
  <c r="J10" i="2"/>
  <c r="I10" i="2"/>
  <c r="H10" i="2"/>
  <c r="G10" i="2"/>
  <c r="F10" i="2"/>
  <c r="E10" i="2"/>
  <c r="D10" i="2"/>
  <c r="C10" i="2"/>
  <c r="B10" i="2"/>
  <c r="K9" i="2"/>
  <c r="J9" i="2"/>
  <c r="I9" i="2"/>
  <c r="H9" i="2"/>
  <c r="G9" i="2"/>
  <c r="F9" i="2"/>
  <c r="E9" i="2"/>
  <c r="D9" i="2"/>
  <c r="C9" i="2"/>
  <c r="B9" i="2"/>
  <c r="K8" i="2"/>
  <c r="J8" i="2"/>
  <c r="I8" i="2"/>
  <c r="H8" i="2"/>
  <c r="G8" i="2"/>
  <c r="F8" i="2"/>
  <c r="E8" i="2"/>
  <c r="D8" i="2"/>
  <c r="C8" i="2"/>
  <c r="B8" i="2"/>
  <c r="K7" i="2"/>
  <c r="J7" i="2"/>
  <c r="I7" i="2"/>
  <c r="H7" i="2"/>
  <c r="G7" i="2"/>
  <c r="F7" i="2"/>
  <c r="E7" i="2"/>
  <c r="D7" i="2"/>
  <c r="C7" i="2"/>
  <c r="B7" i="2"/>
  <c r="K6" i="2"/>
  <c r="J6" i="2"/>
  <c r="I6" i="2"/>
  <c r="H6" i="2"/>
  <c r="G6" i="2"/>
  <c r="F6" i="2"/>
  <c r="E6" i="2"/>
  <c r="D6" i="2"/>
  <c r="C6" i="2"/>
  <c r="B6" i="2"/>
  <c r="K21" i="1"/>
  <c r="J21" i="1"/>
  <c r="K20" i="1"/>
  <c r="J20" i="1"/>
  <c r="I20" i="1"/>
  <c r="H20" i="1"/>
  <c r="F20" i="1"/>
  <c r="D20" i="1"/>
  <c r="K19" i="1"/>
  <c r="J19" i="1"/>
  <c r="I19" i="1"/>
  <c r="H19" i="1"/>
  <c r="F19" i="1"/>
  <c r="D19" i="1"/>
  <c r="K18" i="1"/>
  <c r="J18" i="1"/>
  <c r="I18" i="1"/>
  <c r="H18" i="1"/>
  <c r="F18" i="1"/>
  <c r="D18" i="1"/>
  <c r="K17" i="1"/>
  <c r="J17" i="1"/>
  <c r="I17" i="1"/>
  <c r="H17" i="1"/>
  <c r="F17" i="1"/>
  <c r="D17" i="1"/>
  <c r="K16" i="1"/>
  <c r="J16" i="1"/>
  <c r="I16" i="1"/>
  <c r="H16" i="1"/>
  <c r="F16" i="1"/>
  <c r="D16" i="1"/>
  <c r="D12" i="1"/>
  <c r="G11" i="1"/>
  <c r="F11" i="1"/>
  <c r="D11" i="1"/>
  <c r="G10" i="1"/>
  <c r="F10" i="1"/>
  <c r="D10" i="1"/>
  <c r="G9" i="1"/>
  <c r="F9" i="1"/>
  <c r="D9" i="1"/>
  <c r="G8" i="1"/>
  <c r="F8" i="1"/>
  <c r="D8" i="1"/>
  <c r="G7" i="1"/>
  <c r="F7" i="1"/>
  <c r="D7" i="1"/>
  <c r="F18" i="3" l="1"/>
  <c r="G18" i="3"/>
  <c r="F17" i="3"/>
  <c r="B20" i="3"/>
  <c r="B21" i="3" s="1"/>
  <c r="G17" i="3"/>
  <c r="C20" i="3"/>
  <c r="H18" i="3"/>
  <c r="D20" i="3"/>
  <c r="D21" i="3" s="1"/>
  <c r="H19" i="3"/>
  <c r="F20" i="3"/>
  <c r="G21" i="3"/>
  <c r="F19" i="3"/>
  <c r="G19" i="3"/>
  <c r="E20" i="3"/>
  <c r="G20" i="3"/>
  <c r="C21" i="3"/>
  <c r="F21" i="3" s="1"/>
  <c r="H17" i="3"/>
  <c r="E21" i="3" l="1"/>
  <c r="H21" i="3" s="1"/>
  <c r="H20" i="3"/>
</calcChain>
</file>

<file path=xl/sharedStrings.xml><?xml version="1.0" encoding="utf-8"?>
<sst xmlns="http://schemas.openxmlformats.org/spreadsheetml/2006/main" count="211" uniqueCount="147">
  <si>
    <t>FY2026 Pricing Initiatives — Assumptions &amp; Inputs</t>
  </si>
  <si>
    <t>Enter current prices, proposed increases, and elasticity assumptions. All scenario tabs pull from here.</t>
  </si>
  <si>
    <t>A. CURRENT PRICING &amp; VOLUME BASELINE (FY2025 Actuals)</t>
  </si>
  <si>
    <t>Product / SKU</t>
  </si>
  <si>
    <t>Avg Selling Price ($)</t>
  </si>
  <si>
    <t>Annual Units Sold</t>
  </si>
  <si>
    <t>Annual Revenue ($)</t>
  </si>
  <si>
    <t>COGS per Unit ($)</t>
  </si>
  <si>
    <t>Gross Margin per Unit ($)</t>
  </si>
  <si>
    <t>GM %</t>
  </si>
  <si>
    <t>Customer Segment</t>
  </si>
  <si>
    <t>Channel</t>
  </si>
  <si>
    <t>Notes</t>
  </si>
  <si>
    <t>Product A</t>
  </si>
  <si>
    <t>Enterprise</t>
  </si>
  <si>
    <t>Direct</t>
  </si>
  <si>
    <t>Product B</t>
  </si>
  <si>
    <t>Mid-Market</t>
  </si>
  <si>
    <t>Partner</t>
  </si>
  <si>
    <t>Product C</t>
  </si>
  <si>
    <t>SMB</t>
  </si>
  <si>
    <t>Online</t>
  </si>
  <si>
    <t>Product D</t>
  </si>
  <si>
    <t>Other Rev</t>
  </si>
  <si>
    <t>All Segments</t>
  </si>
  <si>
    <t>Various</t>
  </si>
  <si>
    <t>TOTAL BASELINE</t>
  </si>
  <si>
    <t>B. PROPOSED PRICE CHANGES BY INITIATIVE</t>
  </si>
  <si>
    <t>Initiative Name</t>
  </si>
  <si>
    <t>Price Change Type</t>
  </si>
  <si>
    <t>Current Price ($)</t>
  </si>
  <si>
    <t>Proposed Price ($)</t>
  </si>
  <si>
    <t>% Change</t>
  </si>
  <si>
    <t>Price Elasticity (e)</t>
  </si>
  <si>
    <t>Volume Impact %</t>
  </si>
  <si>
    <t>New Volume</t>
  </si>
  <si>
    <t>New Revenue ($)</t>
  </si>
  <si>
    <t>Revenue Impact ($)</t>
  </si>
  <si>
    <t>Status</t>
  </si>
  <si>
    <t>Enterprise Tier Increase</t>
  </si>
  <si>
    <t>List Price</t>
  </si>
  <si>
    <t>Approved</t>
  </si>
  <si>
    <t>Mid-Market Realignment</t>
  </si>
  <si>
    <t>In Review</t>
  </si>
  <si>
    <t>SMB Bundle Reprice</t>
  </si>
  <si>
    <t>Bundle</t>
  </si>
  <si>
    <t>Entry SKU Optimization</t>
  </si>
  <si>
    <t>Promotional</t>
  </si>
  <si>
    <t>Planned</t>
  </si>
  <si>
    <t>Services Rate Card Update</t>
  </si>
  <si>
    <t>Services</t>
  </si>
  <si>
    <t>TOTAL IMPACT</t>
  </si>
  <si>
    <t>C. PRICE ELASTICITY REFERENCE GUIDE</t>
  </si>
  <si>
    <t>Elasticity Range</t>
  </si>
  <si>
    <t>Classification</t>
  </si>
  <si>
    <t>Example / Context</t>
  </si>
  <si>
    <t>0.0 to -0.2</t>
  </si>
  <si>
    <t>Very Inelastic</t>
  </si>
  <si>
    <t>Enterprise SaaS — sticky contracts, high switching cost</t>
  </si>
  <si>
    <t>-0.2 to -0.5</t>
  </si>
  <si>
    <t>Inelastic</t>
  </si>
  <si>
    <t>Mid-market software — some alternatives but high switching</t>
  </si>
  <si>
    <t>-0.5 to -1.0</t>
  </si>
  <si>
    <t>Unit Elastic</t>
  </si>
  <si>
    <t>SMB/online tools — moderate price sensitivity</t>
  </si>
  <si>
    <t>-1.0 to -2.0</t>
  </si>
  <si>
    <t>Elastic</t>
  </si>
  <si>
    <t>Commoditized products — high substitution risk</t>
  </si>
  <si>
    <t>&lt; -2.0</t>
  </si>
  <si>
    <t>Highly Elastic</t>
  </si>
  <si>
    <t>Undifferentiated, price-driven markets</t>
  </si>
  <si>
    <t>Price-Volume-Mix Bridge — Revenue Variance Analysis</t>
  </si>
  <si>
    <t>Decomposes total revenue variance into Price, Volume, and Mix effects. Update yellow cells with current period actuals.</t>
  </si>
  <si>
    <t>Product</t>
  </si>
  <si>
    <t>Prior Price ($)</t>
  </si>
  <si>
    <t>Prior Volume</t>
  </si>
  <si>
    <t>Current Volume</t>
  </si>
  <si>
    <t>Prior Revenue ($)</t>
  </si>
  <si>
    <t>Current Revenue ($)</t>
  </si>
  <si>
    <t>Price Effect ($)</t>
  </si>
  <si>
    <t>Volume Effect ($)</t>
  </si>
  <si>
    <t>Mix Effect ($)</t>
  </si>
  <si>
    <t>Total Variance ($)</t>
  </si>
  <si>
    <t>TOTAL</t>
  </si>
  <si>
    <t>BRIDGE SUMMARY</t>
  </si>
  <si>
    <t>Prior Period Revenue</t>
  </si>
  <si>
    <t>+ Price Effect</t>
  </si>
  <si>
    <t>+ Volume Effect</t>
  </si>
  <si>
    <t>+ Mix Effect</t>
  </si>
  <si>
    <t>Total Variance $</t>
  </si>
  <si>
    <t>Total Variance %</t>
  </si>
  <si>
    <t>Pricing Scenario Analysis — P&amp;L Impact</t>
  </si>
  <si>
    <t>Three scenarios modeled: Conservative (partial rollout), Base (full rollout), Aggressive (above-plan stretch). Yellow cells = inputs.</t>
  </si>
  <si>
    <t>SCENARIO INPUTS — PRICE INCREASE % BY PRODUCT</t>
  </si>
  <si>
    <t>Conservative %</t>
  </si>
  <si>
    <t>Conservative Rev ($)</t>
  </si>
  <si>
    <t>Base Case %</t>
  </si>
  <si>
    <t>Base Case Rev ($)</t>
  </si>
  <si>
    <t>Aggressive %</t>
  </si>
  <si>
    <t>Aggressive Rev ($)</t>
  </si>
  <si>
    <t>Cons. Impact ($)</t>
  </si>
  <si>
    <t>Base Impact ($)</t>
  </si>
  <si>
    <t>Agg. Impact ($)</t>
  </si>
  <si>
    <t>Best Case</t>
  </si>
  <si>
    <t>Worst Case</t>
  </si>
  <si>
    <t>Metric</t>
  </si>
  <si>
    <t>Baseline</t>
  </si>
  <si>
    <t>Conservative</t>
  </si>
  <si>
    <t>Base Case</t>
  </si>
  <si>
    <t>Aggressive</t>
  </si>
  <si>
    <t>Cons. vs BL</t>
  </si>
  <si>
    <t>Base vs BL</t>
  </si>
  <si>
    <t>Agg. vs BL</t>
  </si>
  <si>
    <t>Total Revenue</t>
  </si>
  <si>
    <t>Gross Profit</t>
  </si>
  <si>
    <t>Gross Margin %</t>
  </si>
  <si>
    <t>Total OPEX</t>
  </si>
  <si>
    <t>EBITDA</t>
  </si>
  <si>
    <t>EBITDA Margin %</t>
  </si>
  <si>
    <t>Pricing Initiative Tracker — Implementation Roadmap FY2026</t>
  </si>
  <si>
    <t>Type</t>
  </si>
  <si>
    <t>Owner</t>
  </si>
  <si>
    <t>Target Eff. Date</t>
  </si>
  <si>
    <t>Vol. Impact %</t>
  </si>
  <si>
    <t>Risk Level</t>
  </si>
  <si>
    <t>Approver</t>
  </si>
  <si>
    <t>Approval Date</t>
  </si>
  <si>
    <t>Completed?</t>
  </si>
  <si>
    <t>Pricing Team</t>
  </si>
  <si>
    <t>Low</t>
  </si>
  <si>
    <t>CFO</t>
  </si>
  <si>
    <t>N</t>
  </si>
  <si>
    <t>Medium</t>
  </si>
  <si>
    <t>VP Sales</t>
  </si>
  <si>
    <t>Product Mgmt</t>
  </si>
  <si>
    <t>Marketing</t>
  </si>
  <si>
    <t>Q2-26</t>
  </si>
  <si>
    <t>VP Marketing</t>
  </si>
  <si>
    <t>CS Team</t>
  </si>
  <si>
    <t>COO</t>
  </si>
  <si>
    <t>PORTFOLIO SUMMARY</t>
  </si>
  <si>
    <t>Total Initiatives</t>
  </si>
  <si>
    <t>Total Revenue Impact (Base)</t>
  </si>
  <si>
    <t>Approved Initiatives Impact</t>
  </si>
  <si>
    <t>MARGIN ASSUMPTIONS (apply to all scenarios)</t>
  </si>
  <si>
    <t>OPEX %</t>
  </si>
  <si>
    <t>Tax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</si>
</sst>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;\(&quot;$&quot;#,##0\);&quot;-&quot;"/>
    <numFmt numFmtId="166" formatCode="0.0%;\(0.0%\);\-"/>
    <numFmt numFmtId="167" formatCode="0.0"/>
    <numFmt numFmtId="168" formatCode="#,##0;\(#,##0\);\-"/>
  </numFmts>
  <fonts count="16" x14ac:knownFonts="1">
    <font>
      <sz val="11"/>
      <color theme="1"/>
      <name val="Aptos Narrow"/>
      <family val="2"/>
      <scheme val="minor"/>
    </font>
    <font>
      <b/>
      <sz val="12"/>
      <color rgb="FFFFFFFF"/>
      <name val="Arial"/>
      <family val="2"/>
    </font>
    <font>
      <i/>
      <sz val="10"/>
      <color rgb="FF595959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b/>
      <sz val="10"/>
      <color rgb="FF2E75B6"/>
      <name val="Arial"/>
      <family val="2"/>
    </font>
    <font>
      <sz val="10"/>
      <color rgb="FF595959"/>
      <name val="Arial"/>
      <family val="2"/>
    </font>
    <font>
      <b/>
      <sz val="10"/>
      <color rgb="FF000000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b/>
      <sz val="10"/>
      <color rgb="FF008000"/>
      <name val="Arial"/>
      <family val="2"/>
    </font>
    <font>
      <b/>
      <sz val="10"/>
      <color rgb="FF59595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left" indent="1"/>
    </xf>
    <xf numFmtId="164" fontId="6" fillId="4" borderId="0" xfId="0" applyNumberFormat="1" applyFont="1" applyFill="1" applyAlignment="1">
      <alignment horizontal="right"/>
    </xf>
    <xf numFmtId="3" fontId="6" fillId="4" borderId="0" xfId="0" applyNumberFormat="1" applyFont="1" applyFill="1" applyAlignment="1">
      <alignment horizontal="right"/>
    </xf>
    <xf numFmtId="165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166" fontId="7" fillId="0" borderId="0" xfId="0" applyNumberFormat="1" applyFont="1" applyAlignment="1">
      <alignment horizontal="right"/>
    </xf>
    <xf numFmtId="0" fontId="6" fillId="4" borderId="0" xfId="0" applyFont="1" applyFill="1" applyAlignment="1">
      <alignment horizontal="left"/>
    </xf>
    <xf numFmtId="0" fontId="5" fillId="5" borderId="0" xfId="0" applyFont="1" applyFill="1" applyAlignment="1">
      <alignment horizontal="left" indent="1"/>
    </xf>
    <xf numFmtId="164" fontId="6" fillId="5" borderId="0" xfId="0" applyNumberFormat="1" applyFont="1" applyFill="1" applyAlignment="1">
      <alignment horizontal="right"/>
    </xf>
    <xf numFmtId="3" fontId="6" fillId="5" borderId="0" xfId="0" applyNumberFormat="1" applyFont="1" applyFill="1" applyAlignment="1">
      <alignment horizontal="right"/>
    </xf>
    <xf numFmtId="165" fontId="7" fillId="5" borderId="0" xfId="0" applyNumberFormat="1" applyFont="1" applyFill="1" applyAlignment="1">
      <alignment horizontal="right"/>
    </xf>
    <xf numFmtId="164" fontId="7" fillId="5" borderId="0" xfId="0" applyNumberFormat="1" applyFont="1" applyFill="1" applyAlignment="1">
      <alignment horizontal="right"/>
    </xf>
    <xf numFmtId="166" fontId="7" fillId="5" borderId="0" xfId="0" applyNumberFormat="1" applyFont="1" applyFill="1" applyAlignment="1">
      <alignment horizontal="right"/>
    </xf>
    <xf numFmtId="0" fontId="6" fillId="5" borderId="0" xfId="0" applyFont="1" applyFill="1" applyAlignment="1">
      <alignment horizontal="left"/>
    </xf>
    <xf numFmtId="0" fontId="0" fillId="5" borderId="0" xfId="0" applyFill="1"/>
    <xf numFmtId="0" fontId="4" fillId="2" borderId="0" xfId="0" applyFont="1" applyFill="1"/>
    <xf numFmtId="165" fontId="4" fillId="2" borderId="0" xfId="0" applyNumberFormat="1" applyFont="1" applyFill="1" applyAlignment="1">
      <alignment horizontal="right"/>
    </xf>
    <xf numFmtId="164" fontId="8" fillId="0" borderId="0" xfId="0" applyNumberFormat="1" applyFont="1"/>
    <xf numFmtId="165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167" fontId="6" fillId="4" borderId="0" xfId="0" applyNumberFormat="1" applyFont="1" applyFill="1" applyAlignment="1">
      <alignment horizontal="right"/>
    </xf>
    <xf numFmtId="168" fontId="7" fillId="0" borderId="0" xfId="0" applyNumberFormat="1" applyFont="1" applyAlignment="1">
      <alignment horizontal="right"/>
    </xf>
    <xf numFmtId="164" fontId="8" fillId="5" borderId="0" xfId="0" applyNumberFormat="1" applyFont="1" applyFill="1" applyAlignment="1">
      <alignment horizontal="right"/>
    </xf>
    <xf numFmtId="167" fontId="6" fillId="5" borderId="0" xfId="0" applyNumberFormat="1" applyFont="1" applyFill="1" applyAlignment="1">
      <alignment horizontal="right"/>
    </xf>
    <xf numFmtId="168" fontId="7" fillId="5" borderId="0" xfId="0" applyNumberFormat="1" applyFont="1" applyFill="1" applyAlignment="1">
      <alignment horizontal="right"/>
    </xf>
    <xf numFmtId="0" fontId="9" fillId="0" borderId="0" xfId="0" applyFont="1"/>
    <xf numFmtId="0" fontId="10" fillId="0" borderId="0" xfId="0" applyFont="1"/>
    <xf numFmtId="0" fontId="9" fillId="5" borderId="0" xfId="0" applyFont="1" applyFill="1"/>
    <xf numFmtId="0" fontId="5" fillId="5" borderId="0" xfId="0" applyFont="1" applyFill="1"/>
    <xf numFmtId="0" fontId="10" fillId="5" borderId="0" xfId="0" applyFont="1" applyFill="1"/>
    <xf numFmtId="168" fontId="8" fillId="0" borderId="0" xfId="0" applyNumberFormat="1" applyFont="1" applyAlignment="1">
      <alignment horizontal="right"/>
    </xf>
    <xf numFmtId="164" fontId="8" fillId="5" borderId="0" xfId="0" applyNumberFormat="1" applyFont="1" applyFill="1"/>
    <xf numFmtId="168" fontId="8" fillId="5" borderId="0" xfId="0" applyNumberFormat="1" applyFont="1" applyFill="1" applyAlignment="1">
      <alignment horizontal="right"/>
    </xf>
    <xf numFmtId="165" fontId="11" fillId="0" borderId="0" xfId="0" applyNumberFormat="1" applyFont="1" applyAlignment="1">
      <alignment horizontal="right"/>
    </xf>
    <xf numFmtId="166" fontId="11" fillId="0" borderId="0" xfId="0" applyNumberFormat="1" applyFont="1" applyAlignment="1">
      <alignment horizontal="right"/>
    </xf>
    <xf numFmtId="166" fontId="6" fillId="4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/>
    </xf>
    <xf numFmtId="165" fontId="13" fillId="0" borderId="0" xfId="0" applyNumberFormat="1" applyFont="1" applyAlignment="1">
      <alignment horizontal="right"/>
    </xf>
    <xf numFmtId="165" fontId="8" fillId="5" borderId="0" xfId="0" applyNumberFormat="1" applyFont="1" applyFill="1" applyAlignment="1">
      <alignment horizontal="right"/>
    </xf>
    <xf numFmtId="166" fontId="6" fillId="5" borderId="0" xfId="0" applyNumberFormat="1" applyFont="1" applyFill="1" applyAlignment="1">
      <alignment horizontal="right"/>
    </xf>
    <xf numFmtId="165" fontId="12" fillId="5" borderId="0" xfId="0" applyNumberFormat="1" applyFont="1" applyFill="1" applyAlignment="1">
      <alignment horizontal="right"/>
    </xf>
    <xf numFmtId="165" fontId="13" fillId="5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left" indent="1"/>
    </xf>
    <xf numFmtId="16" fontId="6" fillId="4" borderId="0" xfId="0" applyNumberFormat="1" applyFont="1" applyFill="1" applyAlignment="1">
      <alignment horizontal="left"/>
    </xf>
    <xf numFmtId="0" fontId="3" fillId="6" borderId="0" xfId="0" applyFont="1" applyFill="1"/>
    <xf numFmtId="0" fontId="3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16" fontId="6" fillId="5" borderId="0" xfId="0" applyNumberFormat="1" applyFont="1" applyFill="1" applyAlignment="1">
      <alignment horizontal="left"/>
    </xf>
    <xf numFmtId="0" fontId="3" fillId="7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3" fillId="8" borderId="0" xfId="0" applyFont="1" applyFill="1" applyAlignment="1">
      <alignment horizontal="center"/>
    </xf>
    <xf numFmtId="165" fontId="14" fillId="0" borderId="0" xfId="0" applyNumberFormat="1" applyFont="1" applyAlignment="1">
      <alignment horizontal="right"/>
    </xf>
    <xf numFmtId="166" fontId="10" fillId="5" borderId="0" xfId="0" applyNumberFormat="1" applyFont="1" applyFill="1" applyAlignment="1">
      <alignment horizontal="right"/>
    </xf>
    <xf numFmtId="166" fontId="15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4" fillId="3" borderId="0" xfId="0" applyFont="1" applyFill="1"/>
    <xf numFmtId="0" fontId="0" fillId="0" borderId="0" xfId="0"/>
    <xf numFmtId="0" fontId="4" fillId="3" borderId="0" xfId="0" applyFont="1" applyFill="1" applyAlignment="1"/>
    <xf numFmtId="166" fontId="6" fillId="4" borderId="0" xfId="0" applyNumberFormat="1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2F138-024A-4A5B-B05D-4E3555652EA5}">
  <dimension ref="A1:L29"/>
  <sheetViews>
    <sheetView workbookViewId="0">
      <pane xSplit="1" ySplit="6" topLeftCell="B13" activePane="bottomRight" state="frozen"/>
      <selection pane="topRight" activeCell="B1" sqref="B1"/>
      <selection pane="bottomLeft" activeCell="A7" sqref="A7"/>
      <selection pane="bottomRight" activeCell="B17" sqref="B17"/>
    </sheetView>
  </sheetViews>
  <sheetFormatPr defaultRowHeight="15" x14ac:dyDescent="0.25"/>
  <cols>
    <col min="1" max="1" width="22.7109375" customWidth="1"/>
    <col min="2" max="2" width="28.7109375" customWidth="1"/>
    <col min="3" max="3" width="16.7109375" customWidth="1"/>
    <col min="4" max="5" width="14.7109375" customWidth="1"/>
    <col min="6" max="7" width="12.7109375" customWidth="1"/>
    <col min="8" max="8" width="14.7109375" customWidth="1"/>
    <col min="9" max="9" width="12.7109375" customWidth="1"/>
    <col min="10" max="11" width="16.7109375" customWidth="1"/>
    <col min="12" max="12" width="12.7109375" customWidth="1"/>
  </cols>
  <sheetData>
    <row r="1" spans="1:12" ht="26.1" customHeight="1" x14ac:dyDescent="0.25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3" spans="1:12" x14ac:dyDescent="0.25">
      <c r="A3" s="1" t="s">
        <v>1</v>
      </c>
    </row>
    <row r="5" spans="1:12" x14ac:dyDescent="0.25">
      <c r="A5" s="61" t="s">
        <v>2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</row>
    <row r="6" spans="1:12" ht="32.1" customHeight="1" x14ac:dyDescent="0.25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</row>
    <row r="7" spans="1:12" x14ac:dyDescent="0.25">
      <c r="A7" s="5" t="s">
        <v>13</v>
      </c>
      <c r="B7" s="6">
        <v>450</v>
      </c>
      <c r="C7" s="7">
        <v>4000</v>
      </c>
      <c r="D7" s="8">
        <f>B7*C7</f>
        <v>1800000</v>
      </c>
      <c r="E7" s="6">
        <v>175</v>
      </c>
      <c r="F7" s="9">
        <f>B7-E7</f>
        <v>275</v>
      </c>
      <c r="G7" s="10">
        <f>IF(B7&lt;&gt;0,F7/B7,0)</f>
        <v>0.61111111111111116</v>
      </c>
      <c r="H7" s="11" t="s">
        <v>14</v>
      </c>
      <c r="I7" s="11" t="s">
        <v>15</v>
      </c>
    </row>
    <row r="8" spans="1:12" x14ac:dyDescent="0.25">
      <c r="A8" s="12" t="s">
        <v>16</v>
      </c>
      <c r="B8" s="13">
        <v>320</v>
      </c>
      <c r="C8" s="14">
        <v>3938</v>
      </c>
      <c r="D8" s="15">
        <f>B8*C8</f>
        <v>1260160</v>
      </c>
      <c r="E8" s="13">
        <v>130</v>
      </c>
      <c r="F8" s="16">
        <f>B8-E8</f>
        <v>190</v>
      </c>
      <c r="G8" s="17">
        <f>IF(B8&lt;&gt;0,F8/B8,0)</f>
        <v>0.59375</v>
      </c>
      <c r="H8" s="18" t="s">
        <v>17</v>
      </c>
      <c r="I8" s="18" t="s">
        <v>18</v>
      </c>
      <c r="J8" s="19"/>
    </row>
    <row r="9" spans="1:12" x14ac:dyDescent="0.25">
      <c r="A9" s="5" t="s">
        <v>19</v>
      </c>
      <c r="B9" s="6">
        <v>180</v>
      </c>
      <c r="C9" s="7">
        <v>4000</v>
      </c>
      <c r="D9" s="8">
        <f>B9*C9</f>
        <v>720000</v>
      </c>
      <c r="E9" s="6">
        <v>65</v>
      </c>
      <c r="F9" s="9">
        <f>B9-E9</f>
        <v>115</v>
      </c>
      <c r="G9" s="10">
        <f>IF(B9&lt;&gt;0,F9/B9,0)</f>
        <v>0.63888888888888884</v>
      </c>
      <c r="H9" s="11" t="s">
        <v>20</v>
      </c>
      <c r="I9" s="11" t="s">
        <v>21</v>
      </c>
    </row>
    <row r="10" spans="1:12" x14ac:dyDescent="0.25">
      <c r="A10" s="12" t="s">
        <v>22</v>
      </c>
      <c r="B10" s="13">
        <v>95</v>
      </c>
      <c r="C10" s="14">
        <v>4737</v>
      </c>
      <c r="D10" s="15">
        <f>B10*C10</f>
        <v>450015</v>
      </c>
      <c r="E10" s="13">
        <v>42</v>
      </c>
      <c r="F10" s="16">
        <f>B10-E10</f>
        <v>53</v>
      </c>
      <c r="G10" s="17">
        <f>IF(B10&lt;&gt;0,F10/B10,0)</f>
        <v>0.55789473684210522</v>
      </c>
      <c r="H10" s="18" t="s">
        <v>20</v>
      </c>
      <c r="I10" s="18" t="s">
        <v>21</v>
      </c>
      <c r="J10" s="19"/>
    </row>
    <row r="11" spans="1:12" x14ac:dyDescent="0.25">
      <c r="A11" s="5" t="s">
        <v>23</v>
      </c>
      <c r="B11" s="6">
        <v>125</v>
      </c>
      <c r="C11" s="7">
        <v>1800</v>
      </c>
      <c r="D11" s="8">
        <f>B11*C11</f>
        <v>225000</v>
      </c>
      <c r="E11" s="6">
        <v>50</v>
      </c>
      <c r="F11" s="9">
        <f>B11-E11</f>
        <v>75</v>
      </c>
      <c r="G11" s="10">
        <f>IF(B11&lt;&gt;0,F11/B11,0)</f>
        <v>0.6</v>
      </c>
      <c r="H11" s="11" t="s">
        <v>24</v>
      </c>
      <c r="I11" s="11" t="s">
        <v>25</v>
      </c>
    </row>
    <row r="12" spans="1:12" x14ac:dyDescent="0.25">
      <c r="A12" s="20" t="s">
        <v>26</v>
      </c>
      <c r="B12" s="20"/>
      <c r="C12" s="20"/>
      <c r="D12" s="21">
        <f>SUM(D7:D11)</f>
        <v>4455175</v>
      </c>
    </row>
    <row r="14" spans="1:12" x14ac:dyDescent="0.25">
      <c r="A14" s="61" t="s">
        <v>27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</row>
    <row r="15" spans="1:12" ht="32.1" customHeight="1" x14ac:dyDescent="0.25">
      <c r="A15" s="3" t="s">
        <v>3</v>
      </c>
      <c r="B15" s="3" t="s">
        <v>28</v>
      </c>
      <c r="C15" s="3" t="s">
        <v>29</v>
      </c>
      <c r="D15" s="3" t="s">
        <v>30</v>
      </c>
      <c r="E15" s="3" t="s">
        <v>31</v>
      </c>
      <c r="F15" s="3" t="s">
        <v>32</v>
      </c>
      <c r="G15" s="3" t="s">
        <v>33</v>
      </c>
      <c r="H15" s="3" t="s">
        <v>34</v>
      </c>
      <c r="I15" s="3" t="s">
        <v>35</v>
      </c>
      <c r="J15" s="3" t="s">
        <v>36</v>
      </c>
      <c r="K15" s="3" t="s">
        <v>37</v>
      </c>
      <c r="L15" s="3" t="s">
        <v>38</v>
      </c>
    </row>
    <row r="16" spans="1:12" x14ac:dyDescent="0.25">
      <c r="A16" s="12" t="s">
        <v>13</v>
      </c>
      <c r="B16" s="18" t="s">
        <v>39</v>
      </c>
      <c r="C16" s="18" t="s">
        <v>40</v>
      </c>
      <c r="D16" s="27">
        <f>B7</f>
        <v>450</v>
      </c>
      <c r="E16" s="13">
        <v>486.00000000000006</v>
      </c>
      <c r="F16" s="17">
        <f>IF(D16&lt;&gt;0,(E16-D16)/D16,0)</f>
        <v>8.0000000000000127E-2</v>
      </c>
      <c r="G16" s="28">
        <v>-0.4</v>
      </c>
      <c r="H16" s="17">
        <f>G16*F16</f>
        <v>-3.2000000000000049E-2</v>
      </c>
      <c r="I16" s="29">
        <f>C7*(1+H16)</f>
        <v>3872</v>
      </c>
      <c r="J16" s="15">
        <f>E16*I16</f>
        <v>1881792.0000000002</v>
      </c>
      <c r="K16" s="15">
        <f>J16-D16*C7</f>
        <v>81792.000000000233</v>
      </c>
      <c r="L16" s="18" t="s">
        <v>41</v>
      </c>
    </row>
    <row r="17" spans="1:12" x14ac:dyDescent="0.25">
      <c r="A17" s="5" t="s">
        <v>16</v>
      </c>
      <c r="B17" s="11" t="s">
        <v>42</v>
      </c>
      <c r="C17" s="11" t="s">
        <v>40</v>
      </c>
      <c r="D17" s="24">
        <f>B8</f>
        <v>320</v>
      </c>
      <c r="E17" s="6">
        <v>336</v>
      </c>
      <c r="F17" s="10">
        <f>IF(D17&lt;&gt;0,(E17-D17)/D17,0)</f>
        <v>0.05</v>
      </c>
      <c r="G17" s="25">
        <v>-0.6</v>
      </c>
      <c r="H17" s="10">
        <f>G17*F17</f>
        <v>-0.03</v>
      </c>
      <c r="I17" s="26">
        <f>C8*(1+H17)</f>
        <v>3819.8599999999997</v>
      </c>
      <c r="J17" s="8">
        <f>E17*I17</f>
        <v>1283472.96</v>
      </c>
      <c r="K17" s="8">
        <f>J17-D17*C8</f>
        <v>23312.959999999963</v>
      </c>
      <c r="L17" s="11" t="s">
        <v>43</v>
      </c>
    </row>
    <row r="18" spans="1:12" x14ac:dyDescent="0.25">
      <c r="A18" s="12" t="s">
        <v>19</v>
      </c>
      <c r="B18" s="18" t="s">
        <v>44</v>
      </c>
      <c r="C18" s="18" t="s">
        <v>45</v>
      </c>
      <c r="D18" s="27">
        <f>B9</f>
        <v>180</v>
      </c>
      <c r="E18" s="13">
        <v>190.8</v>
      </c>
      <c r="F18" s="17">
        <f>IF(D18&lt;&gt;0,(E18-D18)/D18,0)</f>
        <v>6.000000000000006E-2</v>
      </c>
      <c r="G18" s="28">
        <v>-0.8</v>
      </c>
      <c r="H18" s="17">
        <f>G18*F18</f>
        <v>-4.800000000000005E-2</v>
      </c>
      <c r="I18" s="29">
        <f>C9*(1+H18)</f>
        <v>3808</v>
      </c>
      <c r="J18" s="15">
        <f>E18*I18</f>
        <v>726566.40000000002</v>
      </c>
      <c r="K18" s="15">
        <f>J18-D18*C9</f>
        <v>6566.4000000000233</v>
      </c>
      <c r="L18" s="18" t="s">
        <v>41</v>
      </c>
    </row>
    <row r="19" spans="1:12" x14ac:dyDescent="0.25">
      <c r="A19" s="5" t="s">
        <v>22</v>
      </c>
      <c r="B19" s="11" t="s">
        <v>46</v>
      </c>
      <c r="C19" s="11" t="s">
        <v>47</v>
      </c>
      <c r="D19" s="24">
        <f>B10</f>
        <v>95</v>
      </c>
      <c r="E19" s="6">
        <v>97.850000000000009</v>
      </c>
      <c r="F19" s="10">
        <f>IF(D19&lt;&gt;0,(E19-D19)/D19,0)</f>
        <v>3.0000000000000089E-2</v>
      </c>
      <c r="G19" s="25">
        <v>-1</v>
      </c>
      <c r="H19" s="10">
        <f>G19*F19</f>
        <v>-3.0000000000000089E-2</v>
      </c>
      <c r="I19" s="26">
        <f>C10*(1+H19)</f>
        <v>4594.8899999999994</v>
      </c>
      <c r="J19" s="8">
        <f>E19*I19</f>
        <v>449609.9865</v>
      </c>
      <c r="K19" s="8">
        <f>J19-D19*C10</f>
        <v>-405.01350000000093</v>
      </c>
      <c r="L19" s="11" t="s">
        <v>48</v>
      </c>
    </row>
    <row r="20" spans="1:12" x14ac:dyDescent="0.25">
      <c r="A20" s="12" t="s">
        <v>23</v>
      </c>
      <c r="B20" s="18" t="s">
        <v>49</v>
      </c>
      <c r="C20" s="18" t="s">
        <v>50</v>
      </c>
      <c r="D20" s="27">
        <f>B11</f>
        <v>125</v>
      </c>
      <c r="E20" s="13">
        <v>137.5</v>
      </c>
      <c r="F20" s="17">
        <f>IF(D20&lt;&gt;0,(E20-D20)/D20,0)</f>
        <v>0.1</v>
      </c>
      <c r="G20" s="28">
        <v>-0.2</v>
      </c>
      <c r="H20" s="17">
        <f>G20*F20</f>
        <v>-2.0000000000000004E-2</v>
      </c>
      <c r="I20" s="29">
        <f>C11*(1+H20)</f>
        <v>1764</v>
      </c>
      <c r="J20" s="15">
        <f>E20*I20</f>
        <v>242550</v>
      </c>
      <c r="K20" s="15">
        <f>J20-D20*C11</f>
        <v>17550</v>
      </c>
      <c r="L20" s="18" t="s">
        <v>43</v>
      </c>
    </row>
    <row r="21" spans="1:12" x14ac:dyDescent="0.25">
      <c r="A21" s="20" t="s">
        <v>51</v>
      </c>
      <c r="B21" s="20"/>
      <c r="C21" s="20"/>
      <c r="D21" s="20"/>
      <c r="E21" s="20"/>
      <c r="F21" s="20"/>
      <c r="G21" s="20"/>
      <c r="H21" s="20"/>
      <c r="I21" s="20"/>
      <c r="J21" s="21">
        <f>SUM(J16:J20)</f>
        <v>4583991.3465</v>
      </c>
      <c r="K21" s="21">
        <f>SUM(K16:K20)</f>
        <v>128816.34650000022</v>
      </c>
    </row>
    <row r="23" spans="1:12" x14ac:dyDescent="0.25">
      <c r="A23" s="61" t="s">
        <v>52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</row>
    <row r="24" spans="1:12" ht="25.5" x14ac:dyDescent="0.25">
      <c r="A24" s="3" t="s">
        <v>53</v>
      </c>
      <c r="B24" s="3" t="s">
        <v>54</v>
      </c>
      <c r="C24" s="3" t="s">
        <v>55</v>
      </c>
    </row>
    <row r="25" spans="1:12" x14ac:dyDescent="0.25">
      <c r="A25" s="30" t="s">
        <v>56</v>
      </c>
      <c r="B25" s="4" t="s">
        <v>57</v>
      </c>
      <c r="C25" s="31" t="s">
        <v>58</v>
      </c>
    </row>
    <row r="26" spans="1:12" x14ac:dyDescent="0.25">
      <c r="A26" s="32" t="s">
        <v>59</v>
      </c>
      <c r="B26" s="33" t="s">
        <v>60</v>
      </c>
      <c r="C26" s="34" t="s">
        <v>61</v>
      </c>
    </row>
    <row r="27" spans="1:12" x14ac:dyDescent="0.25">
      <c r="A27" s="30" t="s">
        <v>62</v>
      </c>
      <c r="B27" s="4" t="s">
        <v>63</v>
      </c>
      <c r="C27" s="31" t="s">
        <v>64</v>
      </c>
    </row>
    <row r="28" spans="1:12" x14ac:dyDescent="0.25">
      <c r="A28" s="32" t="s">
        <v>65</v>
      </c>
      <c r="B28" s="33" t="s">
        <v>66</v>
      </c>
      <c r="C28" s="34" t="s">
        <v>67</v>
      </c>
    </row>
    <row r="29" spans="1:12" x14ac:dyDescent="0.25">
      <c r="A29" s="30" t="s">
        <v>68</v>
      </c>
      <c r="B29" s="4" t="s">
        <v>69</v>
      </c>
      <c r="C29" s="31" t="s">
        <v>70</v>
      </c>
    </row>
  </sheetData>
  <mergeCells count="4">
    <mergeCell ref="A1:L1"/>
    <mergeCell ref="A5:L5"/>
    <mergeCell ref="A14:L14"/>
    <mergeCell ref="A23:L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835A-96C6-4788-BA4D-FE554B5C70B6}">
  <dimension ref="A1:K2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14" sqref="B14"/>
    </sheetView>
  </sheetViews>
  <sheetFormatPr defaultRowHeight="15" x14ac:dyDescent="0.25"/>
  <cols>
    <col min="1" max="1" width="22.7109375" customWidth="1"/>
    <col min="2" max="11" width="14.7109375" customWidth="1"/>
  </cols>
  <sheetData>
    <row r="1" spans="1:11" ht="26.1" customHeight="1" x14ac:dyDescent="0.25">
      <c r="A1" s="59" t="s">
        <v>71</v>
      </c>
      <c r="B1" s="60"/>
      <c r="C1" s="60"/>
      <c r="D1" s="60"/>
      <c r="E1" s="60"/>
      <c r="F1" s="60"/>
      <c r="G1" s="60"/>
      <c r="H1" s="60"/>
      <c r="I1" s="60"/>
      <c r="J1" s="60"/>
    </row>
    <row r="3" spans="1:11" x14ac:dyDescent="0.25">
      <c r="A3" s="1" t="s">
        <v>72</v>
      </c>
    </row>
    <row r="5" spans="1:11" ht="32.1" customHeight="1" x14ac:dyDescent="0.25">
      <c r="A5" s="3" t="s">
        <v>73</v>
      </c>
      <c r="B5" s="3" t="s">
        <v>74</v>
      </c>
      <c r="C5" s="3" t="s">
        <v>30</v>
      </c>
      <c r="D5" s="3" t="s">
        <v>75</v>
      </c>
      <c r="E5" s="3" t="s">
        <v>76</v>
      </c>
      <c r="F5" s="3" t="s">
        <v>77</v>
      </c>
      <c r="G5" s="3" t="s">
        <v>78</v>
      </c>
      <c r="H5" s="3" t="s">
        <v>79</v>
      </c>
      <c r="I5" s="3" t="s">
        <v>80</v>
      </c>
      <c r="J5" s="3" t="s">
        <v>81</v>
      </c>
      <c r="K5" s="3" t="s">
        <v>82</v>
      </c>
    </row>
    <row r="6" spans="1:11" x14ac:dyDescent="0.25">
      <c r="A6" s="12" t="s">
        <v>13</v>
      </c>
      <c r="B6" s="36">
        <f>Pricing_Assumptions!B7</f>
        <v>450</v>
      </c>
      <c r="C6" s="36">
        <f>Pricing_Assumptions!E16</f>
        <v>486.00000000000006</v>
      </c>
      <c r="D6" s="37">
        <f>Pricing_Assumptions!C7</f>
        <v>4000</v>
      </c>
      <c r="E6" s="37">
        <f>Pricing_Assumptions!I16</f>
        <v>3872</v>
      </c>
      <c r="F6" s="15">
        <f t="shared" ref="F6:G10" si="0">B6*D6</f>
        <v>1800000</v>
      </c>
      <c r="G6" s="15">
        <f t="shared" si="0"/>
        <v>1881792.0000000002</v>
      </c>
      <c r="H6" s="15">
        <f>(C6-B6)*D6</f>
        <v>144000.00000000023</v>
      </c>
      <c r="I6" s="15">
        <f>B6*(E6-D6)</f>
        <v>-57600</v>
      </c>
      <c r="J6" s="15">
        <f>(G6-F6)-H6-I6</f>
        <v>-4608</v>
      </c>
      <c r="K6" s="15">
        <f>G6-F6</f>
        <v>81792.000000000233</v>
      </c>
    </row>
    <row r="7" spans="1:11" x14ac:dyDescent="0.25">
      <c r="A7" s="5" t="s">
        <v>16</v>
      </c>
      <c r="B7" s="22">
        <f>Pricing_Assumptions!B8</f>
        <v>320</v>
      </c>
      <c r="C7" s="22">
        <f>Pricing_Assumptions!E17</f>
        <v>336</v>
      </c>
      <c r="D7" s="35">
        <f>Pricing_Assumptions!C8</f>
        <v>3938</v>
      </c>
      <c r="E7" s="35">
        <f>Pricing_Assumptions!I17</f>
        <v>3819.8599999999997</v>
      </c>
      <c r="F7" s="8">
        <f t="shared" si="0"/>
        <v>1260160</v>
      </c>
      <c r="G7" s="8">
        <f t="shared" si="0"/>
        <v>1283472.96</v>
      </c>
      <c r="H7" s="8">
        <f>(C7-B7)*D7</f>
        <v>63008</v>
      </c>
      <c r="I7" s="8">
        <f>B7*(E7-D7)</f>
        <v>-37804.800000000105</v>
      </c>
      <c r="J7" s="8">
        <f>(G7-F7)-H7-I7</f>
        <v>-1890.2399999999325</v>
      </c>
      <c r="K7" s="8">
        <f>G7-F7</f>
        <v>23312.959999999963</v>
      </c>
    </row>
    <row r="8" spans="1:11" x14ac:dyDescent="0.25">
      <c r="A8" s="12" t="s">
        <v>19</v>
      </c>
      <c r="B8" s="36">
        <f>Pricing_Assumptions!B9</f>
        <v>180</v>
      </c>
      <c r="C8" s="36">
        <f>Pricing_Assumptions!E18</f>
        <v>190.8</v>
      </c>
      <c r="D8" s="37">
        <f>Pricing_Assumptions!C9</f>
        <v>4000</v>
      </c>
      <c r="E8" s="37">
        <f>Pricing_Assumptions!I18</f>
        <v>3808</v>
      </c>
      <c r="F8" s="15">
        <f t="shared" si="0"/>
        <v>720000</v>
      </c>
      <c r="G8" s="15">
        <f t="shared" si="0"/>
        <v>726566.40000000002</v>
      </c>
      <c r="H8" s="15">
        <f>(C8-B8)*D8</f>
        <v>43200.000000000044</v>
      </c>
      <c r="I8" s="15">
        <f>B8*(E8-D8)</f>
        <v>-34560</v>
      </c>
      <c r="J8" s="15">
        <f>(G8-F8)-H8-I8</f>
        <v>-2073.6000000000204</v>
      </c>
      <c r="K8" s="15">
        <f>G8-F8</f>
        <v>6566.4000000000233</v>
      </c>
    </row>
    <row r="9" spans="1:11" x14ac:dyDescent="0.25">
      <c r="A9" s="5" t="s">
        <v>22</v>
      </c>
      <c r="B9" s="22">
        <f>Pricing_Assumptions!B10</f>
        <v>95</v>
      </c>
      <c r="C9" s="22">
        <f>Pricing_Assumptions!E19</f>
        <v>97.850000000000009</v>
      </c>
      <c r="D9" s="35">
        <f>Pricing_Assumptions!C10</f>
        <v>4737</v>
      </c>
      <c r="E9" s="35">
        <f>Pricing_Assumptions!I19</f>
        <v>4594.8899999999994</v>
      </c>
      <c r="F9" s="8">
        <f t="shared" si="0"/>
        <v>450015</v>
      </c>
      <c r="G9" s="8">
        <f t="shared" si="0"/>
        <v>449609.9865</v>
      </c>
      <c r="H9" s="8">
        <f>(C9-B9)*D9</f>
        <v>13500.450000000041</v>
      </c>
      <c r="I9" s="8">
        <f>B9*(E9-D9)</f>
        <v>-13500.450000000055</v>
      </c>
      <c r="J9" s="8">
        <f>(G9-F9)-H9-I9</f>
        <v>-405.01349999998638</v>
      </c>
      <c r="K9" s="8">
        <f>G9-F9</f>
        <v>-405.01350000000093</v>
      </c>
    </row>
    <row r="10" spans="1:11" x14ac:dyDescent="0.25">
      <c r="A10" s="12" t="s">
        <v>23</v>
      </c>
      <c r="B10" s="36">
        <f>Pricing_Assumptions!B11</f>
        <v>125</v>
      </c>
      <c r="C10" s="36">
        <f>Pricing_Assumptions!E20</f>
        <v>137.5</v>
      </c>
      <c r="D10" s="37">
        <f>Pricing_Assumptions!C11</f>
        <v>1800</v>
      </c>
      <c r="E10" s="37">
        <f>Pricing_Assumptions!I20</f>
        <v>1764</v>
      </c>
      <c r="F10" s="15">
        <f t="shared" si="0"/>
        <v>225000</v>
      </c>
      <c r="G10" s="15">
        <f t="shared" si="0"/>
        <v>242550</v>
      </c>
      <c r="H10" s="15">
        <f>(C10-B10)*D10</f>
        <v>22500</v>
      </c>
      <c r="I10" s="15">
        <f>B10*(E10-D10)</f>
        <v>-4500</v>
      </c>
      <c r="J10" s="15">
        <f>(G10-F10)-H10-I10</f>
        <v>-450</v>
      </c>
      <c r="K10" s="15">
        <f>G10-F10</f>
        <v>17550</v>
      </c>
    </row>
    <row r="11" spans="1:11" x14ac:dyDescent="0.25">
      <c r="A11" s="20" t="s">
        <v>83</v>
      </c>
      <c r="B11" s="20"/>
      <c r="C11" s="20"/>
      <c r="D11" s="20"/>
      <c r="E11" s="20"/>
      <c r="F11" s="21">
        <f t="shared" ref="F11:K11" si="1">SUM(F6:F10)</f>
        <v>4455175</v>
      </c>
      <c r="G11" s="21">
        <f t="shared" si="1"/>
        <v>4583991.3465</v>
      </c>
      <c r="H11" s="21">
        <f t="shared" si="1"/>
        <v>286208.4500000003</v>
      </c>
      <c r="I11" s="21">
        <f t="shared" si="1"/>
        <v>-147965.25000000017</v>
      </c>
      <c r="J11" s="21">
        <f t="shared" si="1"/>
        <v>-9426.8534999999392</v>
      </c>
      <c r="K11" s="21">
        <f t="shared" si="1"/>
        <v>128816.34650000022</v>
      </c>
    </row>
    <row r="13" spans="1:11" x14ac:dyDescent="0.25">
      <c r="A13" s="61" t="s">
        <v>84</v>
      </c>
      <c r="B13" s="62"/>
      <c r="C13" s="62"/>
      <c r="D13" s="62"/>
    </row>
    <row r="14" spans="1:11" x14ac:dyDescent="0.25">
      <c r="A14" s="2" t="s">
        <v>85</v>
      </c>
      <c r="B14" s="8">
        <f>F11</f>
        <v>4455175</v>
      </c>
    </row>
    <row r="15" spans="1:11" x14ac:dyDescent="0.25">
      <c r="A15" s="4" t="s">
        <v>86</v>
      </c>
      <c r="B15" s="8">
        <f>H11</f>
        <v>286208.4500000003</v>
      </c>
    </row>
    <row r="16" spans="1:11" x14ac:dyDescent="0.25">
      <c r="A16" s="4" t="s">
        <v>87</v>
      </c>
      <c r="B16" s="8">
        <f>I11</f>
        <v>-147965.25000000017</v>
      </c>
    </row>
    <row r="17" spans="1:2" x14ac:dyDescent="0.25">
      <c r="A17" s="4" t="s">
        <v>88</v>
      </c>
      <c r="B17" s="8">
        <f>J11</f>
        <v>-9426.8534999999392</v>
      </c>
    </row>
    <row r="18" spans="1:2" x14ac:dyDescent="0.25">
      <c r="A18" s="2" t="e">
        <f xml:space="preserve"> Current Period Revenue</f>
        <v>#NAME?</v>
      </c>
      <c r="B18" s="21">
        <f>G11</f>
        <v>4583991.3465</v>
      </c>
    </row>
    <row r="19" spans="1:2" x14ac:dyDescent="0.25">
      <c r="A19" s="2" t="s">
        <v>89</v>
      </c>
      <c r="B19" s="38">
        <f>K11</f>
        <v>128816.34650000022</v>
      </c>
    </row>
    <row r="20" spans="1:2" x14ac:dyDescent="0.25">
      <c r="A20" s="2" t="s">
        <v>90</v>
      </c>
      <c r="B20" s="39">
        <f>IF(F11&lt;&gt;0,K11/F11,0)</f>
        <v>2.891386903993675E-2</v>
      </c>
    </row>
  </sheetData>
  <mergeCells count="2">
    <mergeCell ref="A1:J1"/>
    <mergeCell ref="A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97CAF-6AAE-486F-923A-7365F12F4281}">
  <dimension ref="A1:M16"/>
  <sheetViews>
    <sheetView workbookViewId="0">
      <pane ySplit="3" topLeftCell="A4" activePane="bottomLeft" state="frozen"/>
      <selection pane="bottomLeft" activeCell="A15" sqref="A15"/>
    </sheetView>
  </sheetViews>
  <sheetFormatPr defaultRowHeight="15" x14ac:dyDescent="0.25"/>
  <cols>
    <col min="1" max="1" width="32.7109375" customWidth="1"/>
    <col min="2" max="2" width="16.7109375" customWidth="1"/>
    <col min="3" max="3" width="14.7109375" customWidth="1"/>
    <col min="4" max="4" width="16.7109375" customWidth="1"/>
    <col min="5" max="5" width="14.7109375" customWidth="1"/>
    <col min="6" max="6" width="12.7109375" customWidth="1"/>
    <col min="7" max="7" width="18.7109375" customWidth="1"/>
    <col min="8" max="8" width="12.7109375" customWidth="1"/>
    <col min="9" max="9" width="10.7109375" customWidth="1"/>
    <col min="10" max="11" width="14.7109375" customWidth="1"/>
    <col min="12" max="12" width="24.7109375" customWidth="1"/>
    <col min="13" max="13" width="12.7109375" customWidth="1"/>
  </cols>
  <sheetData>
    <row r="1" spans="1:13" ht="26.1" customHeight="1" x14ac:dyDescent="0.25">
      <c r="A1" s="59" t="s">
        <v>119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3" spans="1:13" ht="32.1" customHeight="1" x14ac:dyDescent="0.25">
      <c r="A3" s="3" t="s">
        <v>28</v>
      </c>
      <c r="B3" s="3" t="s">
        <v>73</v>
      </c>
      <c r="C3" s="3" t="s">
        <v>120</v>
      </c>
      <c r="D3" s="3" t="s">
        <v>121</v>
      </c>
      <c r="E3" s="3" t="s">
        <v>122</v>
      </c>
      <c r="F3" s="3" t="s">
        <v>38</v>
      </c>
      <c r="G3" s="3" t="s">
        <v>37</v>
      </c>
      <c r="H3" s="3" t="s">
        <v>123</v>
      </c>
      <c r="I3" s="3" t="s">
        <v>124</v>
      </c>
      <c r="J3" s="3" t="s">
        <v>125</v>
      </c>
      <c r="K3" s="3" t="s">
        <v>126</v>
      </c>
      <c r="L3" s="3" t="s">
        <v>12</v>
      </c>
      <c r="M3" s="3" t="s">
        <v>127</v>
      </c>
    </row>
    <row r="4" spans="1:13" x14ac:dyDescent="0.25">
      <c r="A4" s="18" t="s">
        <v>39</v>
      </c>
      <c r="B4" s="18" t="s">
        <v>13</v>
      </c>
      <c r="C4" s="18" t="s">
        <v>40</v>
      </c>
      <c r="D4" s="18" t="s">
        <v>128</v>
      </c>
      <c r="E4" s="52">
        <v>46079</v>
      </c>
      <c r="F4" s="50" t="s">
        <v>41</v>
      </c>
      <c r="G4" s="8">
        <f>Pricing_Assumptions!K16</f>
        <v>81792.000000000233</v>
      </c>
      <c r="H4" s="10">
        <f>Pricing_Assumptions!H16</f>
        <v>-3.2000000000000049E-2</v>
      </c>
      <c r="I4" s="51" t="s">
        <v>129</v>
      </c>
      <c r="J4" s="11" t="s">
        <v>130</v>
      </c>
      <c r="K4" s="11"/>
      <c r="L4" s="11"/>
      <c r="M4" s="11" t="s">
        <v>131</v>
      </c>
    </row>
    <row r="5" spans="1:13" x14ac:dyDescent="0.25">
      <c r="A5" s="11" t="s">
        <v>42</v>
      </c>
      <c r="B5" s="11" t="s">
        <v>16</v>
      </c>
      <c r="C5" s="11" t="s">
        <v>40</v>
      </c>
      <c r="D5" s="11" t="s">
        <v>128</v>
      </c>
      <c r="E5" s="48">
        <v>46107</v>
      </c>
      <c r="F5" s="53" t="s">
        <v>43</v>
      </c>
      <c r="G5" s="8">
        <f>Pricing_Assumptions!K17</f>
        <v>23312.959999999963</v>
      </c>
      <c r="H5" s="10">
        <f>Pricing_Assumptions!H17</f>
        <v>-0.03</v>
      </c>
      <c r="I5" s="54" t="s">
        <v>132</v>
      </c>
      <c r="J5" s="11" t="s">
        <v>133</v>
      </c>
      <c r="K5" s="11"/>
      <c r="L5" s="11"/>
      <c r="M5" s="11" t="s">
        <v>131</v>
      </c>
    </row>
    <row r="6" spans="1:13" x14ac:dyDescent="0.25">
      <c r="A6" s="18" t="s">
        <v>44</v>
      </c>
      <c r="B6" s="18" t="s">
        <v>19</v>
      </c>
      <c r="C6" s="18" t="s">
        <v>45</v>
      </c>
      <c r="D6" s="18" t="s">
        <v>134</v>
      </c>
      <c r="E6" s="52">
        <v>46138</v>
      </c>
      <c r="F6" s="50" t="s">
        <v>41</v>
      </c>
      <c r="G6" s="8">
        <f>Pricing_Assumptions!K18</f>
        <v>6566.4000000000233</v>
      </c>
      <c r="H6" s="10">
        <f>Pricing_Assumptions!H18</f>
        <v>-4.800000000000005E-2</v>
      </c>
      <c r="I6" s="54" t="s">
        <v>132</v>
      </c>
      <c r="J6" s="11" t="s">
        <v>130</v>
      </c>
      <c r="K6" s="11"/>
      <c r="L6" s="11"/>
      <c r="M6" s="11" t="s">
        <v>131</v>
      </c>
    </row>
    <row r="7" spans="1:13" x14ac:dyDescent="0.25">
      <c r="A7" s="11" t="s">
        <v>46</v>
      </c>
      <c r="B7" s="11" t="s">
        <v>22</v>
      </c>
      <c r="C7" s="11" t="s">
        <v>47</v>
      </c>
      <c r="D7" s="11" t="s">
        <v>135</v>
      </c>
      <c r="E7" s="11" t="s">
        <v>136</v>
      </c>
      <c r="F7" s="55" t="s">
        <v>48</v>
      </c>
      <c r="G7" s="8">
        <f>Pricing_Assumptions!K19</f>
        <v>-405.01350000000093</v>
      </c>
      <c r="H7" s="10">
        <f>Pricing_Assumptions!H19</f>
        <v>-3.0000000000000089E-2</v>
      </c>
      <c r="I7" s="51" t="s">
        <v>129</v>
      </c>
      <c r="J7" s="11" t="s">
        <v>137</v>
      </c>
      <c r="K7" s="11"/>
      <c r="L7" s="11"/>
      <c r="M7" s="11" t="s">
        <v>131</v>
      </c>
    </row>
    <row r="8" spans="1:13" x14ac:dyDescent="0.25">
      <c r="A8" s="18" t="s">
        <v>49</v>
      </c>
      <c r="B8" s="18" t="s">
        <v>23</v>
      </c>
      <c r="C8" s="18" t="s">
        <v>50</v>
      </c>
      <c r="D8" s="18" t="s">
        <v>138</v>
      </c>
      <c r="E8" s="52">
        <v>46048</v>
      </c>
      <c r="F8" s="53" t="s">
        <v>43</v>
      </c>
      <c r="G8" s="8">
        <f>Pricing_Assumptions!K20</f>
        <v>17550</v>
      </c>
      <c r="H8" s="10">
        <f>Pricing_Assumptions!H20</f>
        <v>-2.0000000000000004E-2</v>
      </c>
      <c r="I8" s="51" t="s">
        <v>129</v>
      </c>
      <c r="J8" s="11" t="s">
        <v>139</v>
      </c>
      <c r="K8" s="11"/>
      <c r="L8" s="11"/>
      <c r="M8" s="11" t="s">
        <v>131</v>
      </c>
    </row>
    <row r="10" spans="1:13" x14ac:dyDescent="0.25">
      <c r="A10" s="61" t="s">
        <v>140</v>
      </c>
      <c r="B10" s="62"/>
      <c r="C10" s="62"/>
      <c r="D10" s="62"/>
      <c r="E10" s="62"/>
      <c r="F10" s="62"/>
      <c r="G10" s="62"/>
    </row>
    <row r="11" spans="1:13" x14ac:dyDescent="0.25">
      <c r="A11" s="4" t="s">
        <v>141</v>
      </c>
      <c r="B11" s="2">
        <f>COUNTA(A4:A8)</f>
        <v>5</v>
      </c>
    </row>
    <row r="12" spans="1:13" x14ac:dyDescent="0.25">
      <c r="A12" s="4" t="s">
        <v>41</v>
      </c>
      <c r="B12" s="49">
        <f>COUNTIF(F4:F8,"Approved")</f>
        <v>2</v>
      </c>
    </row>
    <row r="13" spans="1:13" x14ac:dyDescent="0.25">
      <c r="A13" s="4" t="s">
        <v>43</v>
      </c>
      <c r="B13" s="2">
        <f>COUNTIF(F4:F8,"In Review")</f>
        <v>2</v>
      </c>
    </row>
    <row r="14" spans="1:13" x14ac:dyDescent="0.25">
      <c r="A14" s="4" t="s">
        <v>48</v>
      </c>
      <c r="B14" s="2">
        <f>COUNTIF(F4:F8,"Planned")</f>
        <v>1</v>
      </c>
    </row>
    <row r="15" spans="1:13" x14ac:dyDescent="0.25">
      <c r="A15" s="4" t="s">
        <v>142</v>
      </c>
      <c r="B15" s="38">
        <f>SUM(G4:G8)</f>
        <v>128816.34650000022</v>
      </c>
    </row>
    <row r="16" spans="1:13" x14ac:dyDescent="0.25">
      <c r="A16" s="4" t="s">
        <v>143</v>
      </c>
      <c r="B16" s="56">
        <f>SUMIF(F4:F8,"Approved",G4:G8)</f>
        <v>88358.400000000256</v>
      </c>
    </row>
  </sheetData>
  <mergeCells count="2">
    <mergeCell ref="A1:M1"/>
    <mergeCell ref="A10:G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95E47-344D-4D31-87B0-636D81971D53}">
  <dimension ref="A1:N21"/>
  <sheetViews>
    <sheetView tabSelected="1" workbookViewId="0">
      <pane xSplit="1" ySplit="6" topLeftCell="B11" activePane="bottomRight" state="frozen"/>
      <selection pane="topRight" activeCell="B1" sqref="B1"/>
      <selection pane="bottomLeft" activeCell="A7" sqref="A7"/>
      <selection pane="bottomRight" activeCell="B18" sqref="B18"/>
    </sheetView>
  </sheetViews>
  <sheetFormatPr defaultRowHeight="15" x14ac:dyDescent="0.25"/>
  <cols>
    <col min="1" max="1" width="24.7109375" customWidth="1"/>
    <col min="2" max="14" width="14.7109375" customWidth="1"/>
  </cols>
  <sheetData>
    <row r="1" spans="1:14" ht="26.1" customHeight="1" x14ac:dyDescent="0.25">
      <c r="A1" s="59" t="s">
        <v>91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3" spans="1:14" x14ac:dyDescent="0.25">
      <c r="A3" s="1" t="s">
        <v>92</v>
      </c>
    </row>
    <row r="5" spans="1:14" x14ac:dyDescent="0.25">
      <c r="A5" s="61" t="s">
        <v>93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</row>
    <row r="6" spans="1:14" ht="32.1" customHeight="1" x14ac:dyDescent="0.25">
      <c r="A6" s="3" t="s">
        <v>73</v>
      </c>
      <c r="B6" s="3" t="s">
        <v>30</v>
      </c>
      <c r="C6" s="3" t="s">
        <v>78</v>
      </c>
      <c r="D6" s="3" t="s">
        <v>94</v>
      </c>
      <c r="E6" s="3" t="s">
        <v>95</v>
      </c>
      <c r="F6" s="3" t="s">
        <v>96</v>
      </c>
      <c r="G6" s="3" t="s">
        <v>97</v>
      </c>
      <c r="H6" s="3" t="s">
        <v>98</v>
      </c>
      <c r="I6" s="3" t="s">
        <v>99</v>
      </c>
      <c r="J6" s="3" t="s">
        <v>100</v>
      </c>
      <c r="K6" s="3" t="s">
        <v>101</v>
      </c>
      <c r="L6" s="3" t="s">
        <v>102</v>
      </c>
      <c r="M6" s="3" t="s">
        <v>103</v>
      </c>
      <c r="N6" s="3" t="s">
        <v>104</v>
      </c>
    </row>
    <row r="7" spans="1:14" x14ac:dyDescent="0.25">
      <c r="A7" s="5" t="s">
        <v>13</v>
      </c>
      <c r="B7" s="22">
        <f>Pricing_Assumptions!B7</f>
        <v>450</v>
      </c>
      <c r="C7" s="23">
        <f>Pricing_Assumptions!D7</f>
        <v>1800000</v>
      </c>
      <c r="D7" s="40">
        <v>0.04</v>
      </c>
      <c r="E7" s="8">
        <f>C7*(1+D7)*(1+Pricing_Assumptions!G16*D7)</f>
        <v>1842048</v>
      </c>
      <c r="F7" s="40">
        <v>0.08</v>
      </c>
      <c r="G7" s="8">
        <f>C7*(1+F7)*(1+Pricing_Assumptions!G16*F7)</f>
        <v>1881792.0000000002</v>
      </c>
      <c r="H7" s="40">
        <v>0.12</v>
      </c>
      <c r="I7" s="8">
        <f>C7*(1+H7)*(1+Pricing_Assumptions!G16*H7)</f>
        <v>1919232.0000000002</v>
      </c>
      <c r="J7" s="8">
        <f>E7-C7</f>
        <v>42048</v>
      </c>
      <c r="K7" s="8">
        <f>G7-C7</f>
        <v>81792.000000000233</v>
      </c>
      <c r="L7" s="8">
        <f>I7-C7</f>
        <v>119232.00000000023</v>
      </c>
      <c r="M7" s="41">
        <f>MAX(J7,K7,L7)</f>
        <v>119232.00000000023</v>
      </c>
      <c r="N7" s="42">
        <f>MIN(J7,K7,L7)</f>
        <v>42048</v>
      </c>
    </row>
    <row r="8" spans="1:14" x14ac:dyDescent="0.25">
      <c r="A8" s="12" t="s">
        <v>16</v>
      </c>
      <c r="B8" s="36">
        <f>Pricing_Assumptions!B8</f>
        <v>320</v>
      </c>
      <c r="C8" s="43">
        <f>Pricing_Assumptions!D8</f>
        <v>1260160</v>
      </c>
      <c r="D8" s="44">
        <v>0.03</v>
      </c>
      <c r="E8" s="15">
        <f>C8*(1+D8)*(1+Pricing_Assumptions!G17*D8)</f>
        <v>1274601.4336000001</v>
      </c>
      <c r="F8" s="44">
        <v>0.05</v>
      </c>
      <c r="G8" s="15">
        <f>C8*(1+F8)*(1+Pricing_Assumptions!G17*F8)</f>
        <v>1283472.96</v>
      </c>
      <c r="H8" s="44">
        <v>0.08</v>
      </c>
      <c r="I8" s="15">
        <f>C8*(1+H8)*(1+Pricing_Assumptions!G17*H8)</f>
        <v>1295646.1055999999</v>
      </c>
      <c r="J8" s="15">
        <f>E8-C8</f>
        <v>14441.433600000106</v>
      </c>
      <c r="K8" s="15">
        <f>G8-C8</f>
        <v>23312.959999999963</v>
      </c>
      <c r="L8" s="15">
        <f>I8-C8</f>
        <v>35486.105599999893</v>
      </c>
      <c r="M8" s="45">
        <f>MAX(J8,K8,L8)</f>
        <v>35486.105599999893</v>
      </c>
      <c r="N8" s="46">
        <f>MIN(J8,K8,L8)</f>
        <v>14441.433600000106</v>
      </c>
    </row>
    <row r="9" spans="1:14" x14ac:dyDescent="0.25">
      <c r="A9" s="5" t="s">
        <v>19</v>
      </c>
      <c r="B9" s="22">
        <f>Pricing_Assumptions!B9</f>
        <v>180</v>
      </c>
      <c r="C9" s="23">
        <f>Pricing_Assumptions!D9</f>
        <v>720000</v>
      </c>
      <c r="D9" s="40">
        <v>0.03</v>
      </c>
      <c r="E9" s="8">
        <f>C9*(1+D9)*(1+Pricing_Assumptions!G18*D9)</f>
        <v>723801.59999999998</v>
      </c>
      <c r="F9" s="40">
        <v>0.06</v>
      </c>
      <c r="G9" s="8">
        <f>C9*(1+F9)*(1+Pricing_Assumptions!G18*F9)</f>
        <v>726566.40000000002</v>
      </c>
      <c r="H9" s="40">
        <v>0.1</v>
      </c>
      <c r="I9" s="8">
        <f>C9*(1+H9)*(1+Pricing_Assumptions!G18*H9)</f>
        <v>728640</v>
      </c>
      <c r="J9" s="8">
        <f>E9-C9</f>
        <v>3801.5999999999767</v>
      </c>
      <c r="K9" s="8">
        <f>G9-C9</f>
        <v>6566.4000000000233</v>
      </c>
      <c r="L9" s="8">
        <f>I9-C9</f>
        <v>8640</v>
      </c>
      <c r="M9" s="41">
        <f>MAX(J9,K9,L9)</f>
        <v>8640</v>
      </c>
      <c r="N9" s="42">
        <f>MIN(J9,K9,L9)</f>
        <v>3801.5999999999767</v>
      </c>
    </row>
    <row r="10" spans="1:14" x14ac:dyDescent="0.25">
      <c r="A10" s="12" t="s">
        <v>22</v>
      </c>
      <c r="B10" s="36">
        <f>Pricing_Assumptions!B10</f>
        <v>95</v>
      </c>
      <c r="C10" s="43">
        <f>Pricing_Assumptions!D10</f>
        <v>450015</v>
      </c>
      <c r="D10" s="44">
        <v>0.02</v>
      </c>
      <c r="E10" s="15">
        <f>C10*(1+D10)*(1+Pricing_Assumptions!G19*D10)</f>
        <v>449834.99400000001</v>
      </c>
      <c r="F10" s="44">
        <v>0.03</v>
      </c>
      <c r="G10" s="15">
        <f>C10*(1+F10)*(1+Pricing_Assumptions!G19*F10)</f>
        <v>449609.9865</v>
      </c>
      <c r="H10" s="44">
        <v>0.05</v>
      </c>
      <c r="I10" s="15">
        <f>C10*(1+H10)*(1+Pricing_Assumptions!G19*H10)</f>
        <v>448889.96249999997</v>
      </c>
      <c r="J10" s="15">
        <f>E10-C10</f>
        <v>-180.00599999999395</v>
      </c>
      <c r="K10" s="15">
        <f>G10-C10</f>
        <v>-405.01350000000093</v>
      </c>
      <c r="L10" s="15">
        <f>I10-C10</f>
        <v>-1125.0375000000349</v>
      </c>
      <c r="M10" s="45">
        <f>MAX(J10,K10,L10)</f>
        <v>-180.00599999999395</v>
      </c>
      <c r="N10" s="46">
        <f>MIN(J10,K10,L10)</f>
        <v>-1125.0375000000349</v>
      </c>
    </row>
    <row r="11" spans="1:14" x14ac:dyDescent="0.25">
      <c r="A11" s="5" t="s">
        <v>23</v>
      </c>
      <c r="B11" s="22">
        <f>Pricing_Assumptions!B11</f>
        <v>125</v>
      </c>
      <c r="C11" s="23">
        <f>Pricing_Assumptions!D11</f>
        <v>225000</v>
      </c>
      <c r="D11" s="40">
        <v>0.05</v>
      </c>
      <c r="E11" s="8">
        <f>C11*(1+D11)*(1+Pricing_Assumptions!G20*D11)</f>
        <v>233887.5</v>
      </c>
      <c r="F11" s="40">
        <v>0.1</v>
      </c>
      <c r="G11" s="8">
        <f>C11*(1+F11)*(1+Pricing_Assumptions!G20*F11)</f>
        <v>242550.00000000003</v>
      </c>
      <c r="H11" s="40">
        <v>0.15</v>
      </c>
      <c r="I11" s="8">
        <f>C11*(1+H11)*(1+Pricing_Assumptions!G20*H11)</f>
        <v>250987.49999999997</v>
      </c>
      <c r="J11" s="8">
        <f>E11-C11</f>
        <v>8887.5</v>
      </c>
      <c r="K11" s="8">
        <f>G11-C11</f>
        <v>17550.000000000029</v>
      </c>
      <c r="L11" s="8">
        <f>I11-C11</f>
        <v>25987.499999999971</v>
      </c>
      <c r="M11" s="41">
        <f>MAX(J11,K11,L11)</f>
        <v>25987.499999999971</v>
      </c>
      <c r="N11" s="42">
        <f>MIN(J11,K11,L11)</f>
        <v>8887.5</v>
      </c>
    </row>
    <row r="12" spans="1:14" x14ac:dyDescent="0.25">
      <c r="A12" s="20" t="s">
        <v>83</v>
      </c>
      <c r="B12" s="20"/>
      <c r="C12" s="21">
        <f t="shared" ref="C12:N12" si="0">SUM(C7:C11)</f>
        <v>4455175</v>
      </c>
      <c r="D12" s="21">
        <f t="shared" si="0"/>
        <v>0.17</v>
      </c>
      <c r="E12" s="21">
        <f t="shared" si="0"/>
        <v>4524173.5276000006</v>
      </c>
      <c r="F12" s="21">
        <f t="shared" si="0"/>
        <v>0.32</v>
      </c>
      <c r="G12" s="21">
        <f t="shared" si="0"/>
        <v>4583991.3465</v>
      </c>
      <c r="H12" s="21">
        <f t="shared" si="0"/>
        <v>0.5</v>
      </c>
      <c r="I12" s="21">
        <f t="shared" si="0"/>
        <v>4643395.5681000007</v>
      </c>
      <c r="J12" s="21">
        <f t="shared" si="0"/>
        <v>68998.527600000089</v>
      </c>
      <c r="K12" s="21">
        <f t="shared" si="0"/>
        <v>128816.34650000025</v>
      </c>
      <c r="L12" s="21">
        <f t="shared" si="0"/>
        <v>188220.56810000006</v>
      </c>
      <c r="M12" s="21">
        <f t="shared" si="0"/>
        <v>189165.5996000001</v>
      </c>
      <c r="N12" s="21">
        <f t="shared" si="0"/>
        <v>68053.496100000048</v>
      </c>
    </row>
    <row r="13" spans="1:14" x14ac:dyDescent="0.25">
      <c r="A13" s="63" t="s">
        <v>144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</row>
    <row r="14" spans="1:14" x14ac:dyDescent="0.25">
      <c r="A14" s="65" t="s">
        <v>115</v>
      </c>
      <c r="B14" s="66"/>
      <c r="C14" s="65" t="s">
        <v>145</v>
      </c>
      <c r="D14" s="66"/>
      <c r="E14" s="65" t="s">
        <v>146</v>
      </c>
      <c r="F14" s="66"/>
      <c r="G14" s="67"/>
      <c r="H14" s="67"/>
      <c r="I14" s="67"/>
      <c r="J14" s="67"/>
      <c r="K14" s="67"/>
      <c r="L14" s="67"/>
      <c r="M14" s="67"/>
      <c r="N14" s="67"/>
    </row>
    <row r="15" spans="1:14" ht="27.95" customHeight="1" x14ac:dyDescent="0.25">
      <c r="A15" s="3" t="s">
        <v>105</v>
      </c>
      <c r="B15" s="3" t="s">
        <v>106</v>
      </c>
      <c r="C15" s="3" t="s">
        <v>107</v>
      </c>
      <c r="D15" s="3" t="s">
        <v>108</v>
      </c>
      <c r="E15" s="3" t="s">
        <v>109</v>
      </c>
      <c r="F15" s="3" t="s">
        <v>110</v>
      </c>
      <c r="G15" s="3" t="s">
        <v>111</v>
      </c>
      <c r="H15" s="3" t="s">
        <v>112</v>
      </c>
    </row>
    <row r="16" spans="1:14" x14ac:dyDescent="0.25">
      <c r="A16" s="12" t="s">
        <v>113</v>
      </c>
      <c r="B16" s="15">
        <f>C12</f>
        <v>4455175</v>
      </c>
      <c r="C16" s="15">
        <f>E12</f>
        <v>4524173.5276000006</v>
      </c>
      <c r="D16" s="15">
        <f>G12</f>
        <v>4583991.3465</v>
      </c>
      <c r="E16" s="15">
        <f>I12</f>
        <v>4643395.5681000007</v>
      </c>
      <c r="F16" s="15">
        <f t="shared" ref="F16" si="1">C16-B16</f>
        <v>68998.527600000612</v>
      </c>
      <c r="G16" s="15">
        <f t="shared" ref="G16" si="2">D16-B16</f>
        <v>128816.34649999999</v>
      </c>
      <c r="H16" s="15">
        <f t="shared" ref="H16" si="3">E16-B16</f>
        <v>188220.56810000073</v>
      </c>
    </row>
    <row r="17" spans="1:8" x14ac:dyDescent="0.25">
      <c r="A17" s="5" t="s">
        <v>114</v>
      </c>
      <c r="B17" s="8">
        <f>B16*$B$14</f>
        <v>0</v>
      </c>
      <c r="C17" s="8">
        <f>C16*$B$14</f>
        <v>0</v>
      </c>
      <c r="D17" s="8">
        <f>D16*$B$14</f>
        <v>0</v>
      </c>
      <c r="E17" s="8">
        <f>E16*$B$14</f>
        <v>0</v>
      </c>
      <c r="F17" s="8">
        <f>C17-B17</f>
        <v>0</v>
      </c>
      <c r="G17" s="8">
        <f>D17-B17</f>
        <v>0</v>
      </c>
      <c r="H17" s="8">
        <f>E17-B17</f>
        <v>0</v>
      </c>
    </row>
    <row r="18" spans="1:8" x14ac:dyDescent="0.25">
      <c r="A18" s="12" t="s">
        <v>115</v>
      </c>
      <c r="B18" s="57">
        <f>IF(B16&lt;&gt;0,B17/B16,0)</f>
        <v>0</v>
      </c>
      <c r="C18" s="57">
        <f>IF(C16&lt;&gt;0,C17/C16,0)</f>
        <v>0</v>
      </c>
      <c r="D18" s="57">
        <f>IF(D16&lt;&gt;0,D17/D16,0)</f>
        <v>0</v>
      </c>
      <c r="E18" s="57">
        <f>IF(E16&lt;&gt;0,E17/E16,0)</f>
        <v>0</v>
      </c>
      <c r="F18" s="57">
        <f>C18-B18</f>
        <v>0</v>
      </c>
      <c r="G18" s="57">
        <f>D18-B18</f>
        <v>0</v>
      </c>
      <c r="H18" s="57">
        <f>E18-B18</f>
        <v>0</v>
      </c>
    </row>
    <row r="19" spans="1:8" x14ac:dyDescent="0.25">
      <c r="A19" s="5" t="s">
        <v>116</v>
      </c>
      <c r="B19" s="8">
        <f>B16*$D$14</f>
        <v>0</v>
      </c>
      <c r="C19" s="8">
        <f>C16*$D$14</f>
        <v>0</v>
      </c>
      <c r="D19" s="8">
        <f>D16*$D$14</f>
        <v>0</v>
      </c>
      <c r="E19" s="8">
        <f>E16*$D$14</f>
        <v>0</v>
      </c>
      <c r="F19" s="8">
        <f>C19-B19</f>
        <v>0</v>
      </c>
      <c r="G19" s="8">
        <f>D19-B19</f>
        <v>0</v>
      </c>
      <c r="H19" s="8">
        <f>E19-B19</f>
        <v>0</v>
      </c>
    </row>
    <row r="20" spans="1:8" x14ac:dyDescent="0.25">
      <c r="A20" s="47" t="s">
        <v>117</v>
      </c>
      <c r="B20" s="21">
        <f>B17-B19</f>
        <v>0</v>
      </c>
      <c r="C20" s="21">
        <f>C17-C19</f>
        <v>0</v>
      </c>
      <c r="D20" s="21">
        <f>D17-D19</f>
        <v>0</v>
      </c>
      <c r="E20" s="21">
        <f>E17-E19</f>
        <v>0</v>
      </c>
      <c r="F20" s="21">
        <f>C20-B20</f>
        <v>0</v>
      </c>
      <c r="G20" s="21">
        <f>D20-B20</f>
        <v>0</v>
      </c>
      <c r="H20" s="21">
        <f>E20-B20</f>
        <v>0</v>
      </c>
    </row>
    <row r="21" spans="1:8" x14ac:dyDescent="0.25">
      <c r="A21" s="47" t="s">
        <v>118</v>
      </c>
      <c r="B21" s="58">
        <f>IF(B16&lt;&gt;0,B20/B16,0)</f>
        <v>0</v>
      </c>
      <c r="C21" s="58">
        <f>IF(C16&lt;&gt;0,C20/C16,0)</f>
        <v>0</v>
      </c>
      <c r="D21" s="58">
        <f>IF(D16&lt;&gt;0,D20/D16,0)</f>
        <v>0</v>
      </c>
      <c r="E21" s="58">
        <f>IF(E16&lt;&gt;0,E20/E16,0)</f>
        <v>0</v>
      </c>
      <c r="F21" s="58">
        <f>C21-B21</f>
        <v>0</v>
      </c>
      <c r="G21" s="58">
        <f>D21-B21</f>
        <v>0</v>
      </c>
      <c r="H21" s="58">
        <f>E21-B21</f>
        <v>0</v>
      </c>
    </row>
  </sheetData>
  <mergeCells count="3">
    <mergeCell ref="A1:N1"/>
    <mergeCell ref="A5:N5"/>
    <mergeCell ref="A13:N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Pricing_Assumptions</vt:lpstr>
      <vt:lpstr>PVM_Bridge</vt:lpstr>
      <vt:lpstr>Initiative_Tracker</vt:lpstr>
      <vt:lpstr>Scenario_Analysis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Lopez</dc:creator>
  <cp:lastModifiedBy>Eduardo Lopez</cp:lastModifiedBy>
  <dcterms:created xsi:type="dcterms:W3CDTF">2026-05-28T18:25:33Z</dcterms:created>
  <dcterms:modified xsi:type="dcterms:W3CDTF">2026-05-29T00:25:06Z</dcterms:modified>
</cp:coreProperties>
</file>